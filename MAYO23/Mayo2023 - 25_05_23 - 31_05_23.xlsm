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MEGASync\Uso_Red\Edo_Resultados\2023\Templates\MAYO23\"/>
    </mc:Choice>
  </mc:AlternateContent>
  <xr:revisionPtr revIDLastSave="0" documentId="13_ncr:1_{CCED8D97-B01E-4838-BFF5-46807919A111}" xr6:coauthVersionLast="47" xr6:coauthVersionMax="47" xr10:uidLastSave="{00000000-0000-0000-0000-000000000000}"/>
  <bookViews>
    <workbookView xWindow="0" yWindow="0" windowWidth="28800" windowHeight="15600" tabRatio="752" activeTab="6" xr2:uid="{00000000-000D-0000-FFFF-FFFF00000000}"/>
  </bookViews>
  <sheets>
    <sheet name="Semana" sheetId="2" r:id="rId1"/>
    <sheet name="Hoja1" sheetId="1" state="hidden" r:id="rId2"/>
    <sheet name="Hoja2" sheetId="10" state="hidden" r:id="rId3"/>
    <sheet name="Caja_Diario" sheetId="13" r:id="rId4"/>
    <sheet name="Hoja3" sheetId="12" state="hidden" r:id="rId5"/>
    <sheet name="Sucursal" sheetId="3" state="hidden" r:id="rId6"/>
    <sheet name="Sucursal_Semanal" sheetId="15" r:id="rId7"/>
    <sheet name="Almacen" sheetId="4" state="hidden" r:id="rId8"/>
    <sheet name="Almacen_Semanal" sheetId="17" r:id="rId9"/>
    <sheet name="Produccion" sheetId="5" state="hidden" r:id="rId10"/>
    <sheet name="Produccion_Semanal" sheetId="18" r:id="rId11"/>
    <sheet name="Franquicias" sheetId="6" state="hidden" r:id="rId12"/>
    <sheet name="Franquicias_Semanal" sheetId="19" r:id="rId13"/>
    <sheet name="Matriz" sheetId="8" r:id="rId14"/>
    <sheet name="Resultados_Semana" sheetId="16" r:id="rId15"/>
    <sheet name="Resultados_Mes" sheetId="7" r:id="rId16"/>
    <sheet name="Financiero" sheetId="9" r:id="rId17"/>
    <sheet name="Caja" sheetId="11" r:id="rId18"/>
  </sheets>
  <definedNames>
    <definedName name="caja_app.accdb" localSheetId="4" hidden="1">Hoja3!$A$1:$K$2</definedName>
    <definedName name="financiero_app.accdb" localSheetId="2" hidden="1">Hoja2!$A$1:$F$2</definedName>
    <definedName name="Registro_de_movimientos_app.accdb" localSheetId="1" hidden="1">Hoja1!$A$1:$L$4</definedName>
  </definedNames>
  <calcPr calcId="191029"/>
  <pivotCaches>
    <pivotCache cacheId="10" r:id="rId19"/>
    <pivotCache cacheId="14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" i="16" l="1"/>
  <c r="H87" i="16"/>
  <c r="F87" i="16"/>
  <c r="D87" i="16"/>
  <c r="B87" i="7"/>
  <c r="B63" i="19"/>
  <c r="B43" i="19"/>
  <c r="H80" i="16" s="1"/>
  <c r="B42" i="19"/>
  <c r="H79" i="16" s="1"/>
  <c r="B41" i="19"/>
  <c r="H78" i="16" s="1"/>
  <c r="B40" i="19"/>
  <c r="H77" i="16" s="1"/>
  <c r="B39" i="19"/>
  <c r="H76" i="16" s="1"/>
  <c r="B38" i="19"/>
  <c r="H75" i="16" s="1"/>
  <c r="B37" i="19"/>
  <c r="H74" i="16" s="1"/>
  <c r="B36" i="19"/>
  <c r="H73" i="16" s="1"/>
  <c r="B35" i="19"/>
  <c r="H72" i="16" s="1"/>
  <c r="B34" i="19"/>
  <c r="H71" i="16" s="1"/>
  <c r="B33" i="19"/>
  <c r="H70" i="16" s="1"/>
  <c r="B32" i="19"/>
  <c r="H69" i="16" s="1"/>
  <c r="B31" i="19"/>
  <c r="H68" i="16" s="1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8" i="19"/>
  <c r="H19" i="16" s="1"/>
  <c r="B7" i="19"/>
  <c r="H18" i="16" s="1"/>
  <c r="D77" i="18"/>
  <c r="B77" i="18"/>
  <c r="G76" i="18"/>
  <c r="G75" i="18"/>
  <c r="G74" i="18"/>
  <c r="G73" i="18"/>
  <c r="G72" i="18"/>
  <c r="G71" i="18"/>
  <c r="G77" i="18" s="1"/>
  <c r="G70" i="18"/>
  <c r="G64" i="18"/>
  <c r="D56" i="18"/>
  <c r="B56" i="18"/>
  <c r="D55" i="18"/>
  <c r="B55" i="18"/>
  <c r="D54" i="18"/>
  <c r="B54" i="18"/>
  <c r="D53" i="18"/>
  <c r="B53" i="18"/>
  <c r="D52" i="18"/>
  <c r="B52" i="18"/>
  <c r="D51" i="18"/>
  <c r="B51" i="18"/>
  <c r="D50" i="18"/>
  <c r="B50" i="18"/>
  <c r="D49" i="18"/>
  <c r="B49" i="18"/>
  <c r="D48" i="18"/>
  <c r="B48" i="18"/>
  <c r="D47" i="18"/>
  <c r="B47" i="18"/>
  <c r="D46" i="18"/>
  <c r="B46" i="18"/>
  <c r="D45" i="18"/>
  <c r="B45" i="18"/>
  <c r="D44" i="18"/>
  <c r="B44" i="18"/>
  <c r="D40" i="18"/>
  <c r="B40" i="18"/>
  <c r="D39" i="18"/>
  <c r="B39" i="18"/>
  <c r="D38" i="18"/>
  <c r="B38" i="18"/>
  <c r="D37" i="18"/>
  <c r="B37" i="18"/>
  <c r="D36" i="18"/>
  <c r="B36" i="18"/>
  <c r="D35" i="18"/>
  <c r="B35" i="18"/>
  <c r="D34" i="18"/>
  <c r="B34" i="18"/>
  <c r="D33" i="18"/>
  <c r="B33" i="18"/>
  <c r="D32" i="18"/>
  <c r="B32" i="18"/>
  <c r="D31" i="18"/>
  <c r="B31" i="18"/>
  <c r="D30" i="18"/>
  <c r="B30" i="18"/>
  <c r="D29" i="18"/>
  <c r="B29" i="18"/>
  <c r="D28" i="18"/>
  <c r="B28" i="18"/>
  <c r="D27" i="18"/>
  <c r="B27" i="18"/>
  <c r="D26" i="18"/>
  <c r="B26" i="18"/>
  <c r="B20" i="18"/>
  <c r="B19" i="18"/>
  <c r="B18" i="18"/>
  <c r="B17" i="18"/>
  <c r="B16" i="18"/>
  <c r="B15" i="18"/>
  <c r="B14" i="18"/>
  <c r="B13" i="18"/>
  <c r="D9" i="18"/>
  <c r="B9" i="18"/>
  <c r="D8" i="18"/>
  <c r="B8" i="18"/>
  <c r="D7" i="18"/>
  <c r="B7" i="18"/>
  <c r="B81" i="17"/>
  <c r="B61" i="17"/>
  <c r="D80" i="16" s="1"/>
  <c r="B60" i="17"/>
  <c r="D79" i="16" s="1"/>
  <c r="B59" i="17"/>
  <c r="D78" i="16" s="1"/>
  <c r="B58" i="17"/>
  <c r="D77" i="16" s="1"/>
  <c r="B57" i="17"/>
  <c r="D76" i="16" s="1"/>
  <c r="B56" i="17"/>
  <c r="D75" i="16" s="1"/>
  <c r="B55" i="17"/>
  <c r="D74" i="16" s="1"/>
  <c r="B54" i="17"/>
  <c r="D73" i="16" s="1"/>
  <c r="B53" i="17"/>
  <c r="D72" i="16" s="1"/>
  <c r="B52" i="17"/>
  <c r="D71" i="16" s="1"/>
  <c r="B51" i="17"/>
  <c r="D70" i="16" s="1"/>
  <c r="B50" i="17"/>
  <c r="D69" i="16" s="1"/>
  <c r="B49" i="17"/>
  <c r="D68" i="16" s="1"/>
  <c r="B44" i="17"/>
  <c r="D62" i="16" s="1"/>
  <c r="B43" i="17"/>
  <c r="D61" i="16" s="1"/>
  <c r="B42" i="17"/>
  <c r="D63" i="16" s="1"/>
  <c r="B41" i="17"/>
  <c r="D59" i="16" s="1"/>
  <c r="B40" i="17"/>
  <c r="D58" i="16" s="1"/>
  <c r="B39" i="17"/>
  <c r="D57" i="16" s="1"/>
  <c r="B38" i="17"/>
  <c r="D56" i="16" s="1"/>
  <c r="B37" i="17"/>
  <c r="D55" i="16" s="1"/>
  <c r="B36" i="17"/>
  <c r="D54" i="16" s="1"/>
  <c r="B35" i="17"/>
  <c r="D53" i="16" s="1"/>
  <c r="B34" i="17"/>
  <c r="D52" i="16" s="1"/>
  <c r="B33" i="17"/>
  <c r="D51" i="16" s="1"/>
  <c r="B32" i="17"/>
  <c r="D50" i="16" s="1"/>
  <c r="B31" i="17"/>
  <c r="D49" i="16" s="1"/>
  <c r="B30" i="17"/>
  <c r="D48" i="16" s="1"/>
  <c r="B29" i="17"/>
  <c r="D47" i="16" s="1"/>
  <c r="B28" i="17"/>
  <c r="D46" i="16" s="1"/>
  <c r="B27" i="17"/>
  <c r="D43" i="16" s="1"/>
  <c r="B21" i="17"/>
  <c r="D30" i="16" s="1"/>
  <c r="B20" i="17"/>
  <c r="D29" i="16" s="1"/>
  <c r="B19" i="17"/>
  <c r="D28" i="16" s="1"/>
  <c r="B18" i="17"/>
  <c r="D27" i="16" s="1"/>
  <c r="B17" i="17"/>
  <c r="D26" i="16" s="1"/>
  <c r="B16" i="17"/>
  <c r="D25" i="16" s="1"/>
  <c r="B15" i="17"/>
  <c r="D24" i="16" s="1"/>
  <c r="B14" i="17"/>
  <c r="D23" i="16" s="1"/>
  <c r="B10" i="17"/>
  <c r="D15" i="16" s="1"/>
  <c r="B9" i="17"/>
  <c r="D14" i="16" s="1"/>
  <c r="B8" i="17"/>
  <c r="D13" i="16" s="1"/>
  <c r="H100" i="16"/>
  <c r="F100" i="16"/>
  <c r="D100" i="16"/>
  <c r="B100" i="16"/>
  <c r="K99" i="16"/>
  <c r="K98" i="16"/>
  <c r="K97" i="16"/>
  <c r="K96" i="16"/>
  <c r="K95" i="16"/>
  <c r="K100" i="16" s="1"/>
  <c r="K94" i="16"/>
  <c r="K93" i="16"/>
  <c r="I40" i="16"/>
  <c r="H40" i="16"/>
  <c r="G40" i="16"/>
  <c r="F40" i="16"/>
  <c r="E40" i="16"/>
  <c r="D40" i="16"/>
  <c r="AM87" i="15"/>
  <c r="AM86" i="15"/>
  <c r="AM85" i="15"/>
  <c r="AM84" i="15"/>
  <c r="AM83" i="15"/>
  <c r="AM82" i="15"/>
  <c r="AM81" i="15"/>
  <c r="AM88" i="15" s="1"/>
  <c r="AM75" i="15"/>
  <c r="AJ68" i="15"/>
  <c r="AH68" i="15"/>
  <c r="AF68" i="15"/>
  <c r="AD68" i="15"/>
  <c r="AB68" i="15"/>
  <c r="Z68" i="15"/>
  <c r="X68" i="15"/>
  <c r="V68" i="15"/>
  <c r="T68" i="15"/>
  <c r="R68" i="15"/>
  <c r="P68" i="15"/>
  <c r="N68" i="15"/>
  <c r="L68" i="15"/>
  <c r="J68" i="15"/>
  <c r="H68" i="15"/>
  <c r="F68" i="15"/>
  <c r="D68" i="15"/>
  <c r="B68" i="15"/>
  <c r="AJ67" i="15"/>
  <c r="AH67" i="15"/>
  <c r="AF67" i="15"/>
  <c r="AD67" i="15"/>
  <c r="AB67" i="15"/>
  <c r="Z67" i="15"/>
  <c r="X67" i="15"/>
  <c r="V67" i="15"/>
  <c r="T67" i="15"/>
  <c r="R67" i="15"/>
  <c r="P67" i="15"/>
  <c r="N67" i="15"/>
  <c r="L67" i="15"/>
  <c r="J67" i="15"/>
  <c r="H67" i="15"/>
  <c r="F67" i="15"/>
  <c r="D67" i="15"/>
  <c r="B67" i="15"/>
  <c r="AJ66" i="15"/>
  <c r="AH66" i="15"/>
  <c r="AF66" i="15"/>
  <c r="AD66" i="15"/>
  <c r="AB66" i="15"/>
  <c r="Z66" i="15"/>
  <c r="X66" i="15"/>
  <c r="V66" i="15"/>
  <c r="T66" i="15"/>
  <c r="R66" i="15"/>
  <c r="P66" i="15"/>
  <c r="N66" i="15"/>
  <c r="L66" i="15"/>
  <c r="J66" i="15"/>
  <c r="H66" i="15"/>
  <c r="F66" i="15"/>
  <c r="D66" i="15"/>
  <c r="B66" i="15"/>
  <c r="AJ65" i="15"/>
  <c r="AH65" i="15"/>
  <c r="AF65" i="15"/>
  <c r="AD65" i="15"/>
  <c r="AB65" i="15"/>
  <c r="Z65" i="15"/>
  <c r="X65" i="15"/>
  <c r="V65" i="15"/>
  <c r="T65" i="15"/>
  <c r="R65" i="15"/>
  <c r="P65" i="15"/>
  <c r="N65" i="15"/>
  <c r="L65" i="15"/>
  <c r="J65" i="15"/>
  <c r="H65" i="15"/>
  <c r="F65" i="15"/>
  <c r="D65" i="15"/>
  <c r="B65" i="15"/>
  <c r="AJ64" i="15"/>
  <c r="AH64" i="15"/>
  <c r="AF64" i="15"/>
  <c r="AD64" i="15"/>
  <c r="AB64" i="15"/>
  <c r="Z64" i="15"/>
  <c r="X64" i="15"/>
  <c r="V64" i="15"/>
  <c r="T64" i="15"/>
  <c r="R64" i="15"/>
  <c r="P64" i="15"/>
  <c r="N64" i="15"/>
  <c r="L64" i="15"/>
  <c r="J64" i="15"/>
  <c r="H64" i="15"/>
  <c r="F64" i="15"/>
  <c r="D64" i="15"/>
  <c r="B64" i="15"/>
  <c r="AJ63" i="15"/>
  <c r="AH63" i="15"/>
  <c r="AF63" i="15"/>
  <c r="AD63" i="15"/>
  <c r="AB63" i="15"/>
  <c r="Z63" i="15"/>
  <c r="X63" i="15"/>
  <c r="V63" i="15"/>
  <c r="T63" i="15"/>
  <c r="R63" i="15"/>
  <c r="P63" i="15"/>
  <c r="N63" i="15"/>
  <c r="L63" i="15"/>
  <c r="J63" i="15"/>
  <c r="H63" i="15"/>
  <c r="F63" i="15"/>
  <c r="D63" i="15"/>
  <c r="B63" i="15"/>
  <c r="AJ62" i="15"/>
  <c r="AH62" i="15"/>
  <c r="AF62" i="15"/>
  <c r="AD62" i="15"/>
  <c r="AB62" i="15"/>
  <c r="Z62" i="15"/>
  <c r="X62" i="15"/>
  <c r="V62" i="15"/>
  <c r="T62" i="15"/>
  <c r="R62" i="15"/>
  <c r="P62" i="15"/>
  <c r="N62" i="15"/>
  <c r="L62" i="15"/>
  <c r="J62" i="15"/>
  <c r="H62" i="15"/>
  <c r="F62" i="15"/>
  <c r="D62" i="15"/>
  <c r="B62" i="15"/>
  <c r="AJ61" i="15"/>
  <c r="AH61" i="15"/>
  <c r="AF61" i="15"/>
  <c r="AD61" i="15"/>
  <c r="AB61" i="15"/>
  <c r="Z61" i="15"/>
  <c r="X61" i="15"/>
  <c r="V61" i="15"/>
  <c r="T61" i="15"/>
  <c r="R61" i="15"/>
  <c r="P61" i="15"/>
  <c r="N61" i="15"/>
  <c r="L61" i="15"/>
  <c r="J61" i="15"/>
  <c r="H61" i="15"/>
  <c r="F61" i="15"/>
  <c r="D61" i="15"/>
  <c r="B61" i="15"/>
  <c r="AJ60" i="15"/>
  <c r="AH60" i="15"/>
  <c r="AF60" i="15"/>
  <c r="AD60" i="15"/>
  <c r="AB60" i="15"/>
  <c r="Z60" i="15"/>
  <c r="X60" i="15"/>
  <c r="V60" i="15"/>
  <c r="T60" i="15"/>
  <c r="R60" i="15"/>
  <c r="P60" i="15"/>
  <c r="N60" i="15"/>
  <c r="L60" i="15"/>
  <c r="J60" i="15"/>
  <c r="H60" i="15"/>
  <c r="F60" i="15"/>
  <c r="D60" i="15"/>
  <c r="B60" i="15"/>
  <c r="AJ59" i="15"/>
  <c r="AH59" i="15"/>
  <c r="AF59" i="15"/>
  <c r="AD59" i="15"/>
  <c r="AB59" i="15"/>
  <c r="Z59" i="15"/>
  <c r="X59" i="15"/>
  <c r="V59" i="15"/>
  <c r="T59" i="15"/>
  <c r="R59" i="15"/>
  <c r="P59" i="15"/>
  <c r="N59" i="15"/>
  <c r="L59" i="15"/>
  <c r="J59" i="15"/>
  <c r="H59" i="15"/>
  <c r="F59" i="15"/>
  <c r="D59" i="15"/>
  <c r="B59" i="15"/>
  <c r="AJ58" i="15"/>
  <c r="AH58" i="15"/>
  <c r="AF58" i="15"/>
  <c r="AD58" i="15"/>
  <c r="AB58" i="15"/>
  <c r="Z58" i="15"/>
  <c r="X58" i="15"/>
  <c r="V58" i="15"/>
  <c r="T58" i="15"/>
  <c r="R58" i="15"/>
  <c r="P58" i="15"/>
  <c r="N58" i="15"/>
  <c r="L58" i="15"/>
  <c r="J58" i="15"/>
  <c r="H58" i="15"/>
  <c r="F58" i="15"/>
  <c r="D58" i="15"/>
  <c r="B58" i="15"/>
  <c r="AJ57" i="15"/>
  <c r="AH57" i="15"/>
  <c r="AF57" i="15"/>
  <c r="AD57" i="15"/>
  <c r="AB57" i="15"/>
  <c r="Z57" i="15"/>
  <c r="X57" i="15"/>
  <c r="V57" i="15"/>
  <c r="T57" i="15"/>
  <c r="R57" i="15"/>
  <c r="P57" i="15"/>
  <c r="N57" i="15"/>
  <c r="L57" i="15"/>
  <c r="J57" i="15"/>
  <c r="H57" i="15"/>
  <c r="F57" i="15"/>
  <c r="D57" i="15"/>
  <c r="B57" i="15"/>
  <c r="AJ56" i="15"/>
  <c r="AH56" i="15"/>
  <c r="AF56" i="15"/>
  <c r="AD56" i="15"/>
  <c r="AB56" i="15"/>
  <c r="Z56" i="15"/>
  <c r="X56" i="15"/>
  <c r="V56" i="15"/>
  <c r="T56" i="15"/>
  <c r="R56" i="15"/>
  <c r="P56" i="15"/>
  <c r="N56" i="15"/>
  <c r="L56" i="15"/>
  <c r="J56" i="15"/>
  <c r="H56" i="15"/>
  <c r="F56" i="15"/>
  <c r="D56" i="15"/>
  <c r="B56" i="15"/>
  <c r="AJ52" i="15"/>
  <c r="AH52" i="15"/>
  <c r="AF52" i="15"/>
  <c r="AD52" i="15"/>
  <c r="AB52" i="15"/>
  <c r="Z52" i="15"/>
  <c r="X52" i="15"/>
  <c r="V52" i="15"/>
  <c r="T52" i="15"/>
  <c r="R52" i="15"/>
  <c r="P52" i="15"/>
  <c r="N52" i="15"/>
  <c r="L52" i="15"/>
  <c r="J52" i="15"/>
  <c r="H52" i="15"/>
  <c r="F52" i="15"/>
  <c r="D52" i="15"/>
  <c r="B52" i="15"/>
  <c r="AJ51" i="15"/>
  <c r="AH51" i="15"/>
  <c r="AF51" i="15"/>
  <c r="AD51" i="15"/>
  <c r="AB51" i="15"/>
  <c r="Z51" i="15"/>
  <c r="X51" i="15"/>
  <c r="V51" i="15"/>
  <c r="T51" i="15"/>
  <c r="R51" i="15"/>
  <c r="P51" i="15"/>
  <c r="N51" i="15"/>
  <c r="L51" i="15"/>
  <c r="J51" i="15"/>
  <c r="H51" i="15"/>
  <c r="F51" i="15"/>
  <c r="D51" i="15"/>
  <c r="B51" i="15"/>
  <c r="AJ50" i="15"/>
  <c r="AH50" i="15"/>
  <c r="AF50" i="15"/>
  <c r="AD50" i="15"/>
  <c r="AB50" i="15"/>
  <c r="Z50" i="15"/>
  <c r="X50" i="15"/>
  <c r="V50" i="15"/>
  <c r="T50" i="15"/>
  <c r="R50" i="15"/>
  <c r="P50" i="15"/>
  <c r="N50" i="15"/>
  <c r="L50" i="15"/>
  <c r="J50" i="15"/>
  <c r="H50" i="15"/>
  <c r="F50" i="15"/>
  <c r="D50" i="15"/>
  <c r="B50" i="15"/>
  <c r="AJ49" i="15"/>
  <c r="AH49" i="15"/>
  <c r="AF49" i="15"/>
  <c r="AD49" i="15"/>
  <c r="AB49" i="15"/>
  <c r="Z49" i="15"/>
  <c r="X49" i="15"/>
  <c r="V49" i="15"/>
  <c r="T49" i="15"/>
  <c r="R49" i="15"/>
  <c r="P49" i="15"/>
  <c r="N49" i="15"/>
  <c r="L49" i="15"/>
  <c r="J49" i="15"/>
  <c r="H49" i="15"/>
  <c r="F49" i="15"/>
  <c r="D49" i="15"/>
  <c r="B49" i="15"/>
  <c r="AJ48" i="15"/>
  <c r="AH48" i="15"/>
  <c r="AF48" i="15"/>
  <c r="AD48" i="15"/>
  <c r="AB48" i="15"/>
  <c r="Z48" i="15"/>
  <c r="X48" i="15"/>
  <c r="V48" i="15"/>
  <c r="T48" i="15"/>
  <c r="R48" i="15"/>
  <c r="P48" i="15"/>
  <c r="N48" i="15"/>
  <c r="L48" i="15"/>
  <c r="J48" i="15"/>
  <c r="H48" i="15"/>
  <c r="F48" i="15"/>
  <c r="D48" i="15"/>
  <c r="B48" i="15"/>
  <c r="AJ47" i="15"/>
  <c r="AH47" i="15"/>
  <c r="AF47" i="15"/>
  <c r="AD47" i="15"/>
  <c r="AB47" i="15"/>
  <c r="Z47" i="15"/>
  <c r="X47" i="15"/>
  <c r="V47" i="15"/>
  <c r="T47" i="15"/>
  <c r="R47" i="15"/>
  <c r="P47" i="15"/>
  <c r="N47" i="15"/>
  <c r="L47" i="15"/>
  <c r="J47" i="15"/>
  <c r="H47" i="15"/>
  <c r="F47" i="15"/>
  <c r="D47" i="15"/>
  <c r="B47" i="15"/>
  <c r="AJ46" i="15"/>
  <c r="AH46" i="15"/>
  <c r="AF46" i="15"/>
  <c r="AD46" i="15"/>
  <c r="AB46" i="15"/>
  <c r="Z46" i="15"/>
  <c r="X46" i="15"/>
  <c r="V46" i="15"/>
  <c r="T46" i="15"/>
  <c r="R46" i="15"/>
  <c r="P46" i="15"/>
  <c r="N46" i="15"/>
  <c r="L46" i="15"/>
  <c r="J46" i="15"/>
  <c r="H46" i="15"/>
  <c r="F46" i="15"/>
  <c r="D46" i="15"/>
  <c r="B46" i="15"/>
  <c r="AJ45" i="15"/>
  <c r="AH45" i="15"/>
  <c r="AF45" i="15"/>
  <c r="AD45" i="15"/>
  <c r="AB45" i="15"/>
  <c r="Z45" i="15"/>
  <c r="X45" i="15"/>
  <c r="V45" i="15"/>
  <c r="T45" i="15"/>
  <c r="R45" i="15"/>
  <c r="P45" i="15"/>
  <c r="N45" i="15"/>
  <c r="L45" i="15"/>
  <c r="J45" i="15"/>
  <c r="H45" i="15"/>
  <c r="F45" i="15"/>
  <c r="D45" i="15"/>
  <c r="B45" i="15"/>
  <c r="AJ44" i="15"/>
  <c r="AH44" i="15"/>
  <c r="AF44" i="15"/>
  <c r="AD44" i="15"/>
  <c r="AB44" i="15"/>
  <c r="Z44" i="15"/>
  <c r="X44" i="15"/>
  <c r="V44" i="15"/>
  <c r="T44" i="15"/>
  <c r="R44" i="15"/>
  <c r="P44" i="15"/>
  <c r="N44" i="15"/>
  <c r="L44" i="15"/>
  <c r="J44" i="15"/>
  <c r="H44" i="15"/>
  <c r="F44" i="15"/>
  <c r="D44" i="15"/>
  <c r="B44" i="15"/>
  <c r="AJ43" i="15"/>
  <c r="AH43" i="15"/>
  <c r="AF43" i="15"/>
  <c r="AD43" i="15"/>
  <c r="AB43" i="15"/>
  <c r="Z43" i="15"/>
  <c r="X43" i="15"/>
  <c r="V43" i="15"/>
  <c r="T43" i="15"/>
  <c r="R43" i="15"/>
  <c r="P43" i="15"/>
  <c r="N43" i="15"/>
  <c r="L43" i="15"/>
  <c r="J43" i="15"/>
  <c r="H43" i="15"/>
  <c r="F43" i="15"/>
  <c r="D43" i="15"/>
  <c r="B43" i="15"/>
  <c r="AJ42" i="15"/>
  <c r="AH42" i="15"/>
  <c r="AF42" i="15"/>
  <c r="AD42" i="15"/>
  <c r="AB42" i="15"/>
  <c r="Z42" i="15"/>
  <c r="X42" i="15"/>
  <c r="V42" i="15"/>
  <c r="T42" i="15"/>
  <c r="R42" i="15"/>
  <c r="P42" i="15"/>
  <c r="N42" i="15"/>
  <c r="L42" i="15"/>
  <c r="J42" i="15"/>
  <c r="H42" i="15"/>
  <c r="F42" i="15"/>
  <c r="D42" i="15"/>
  <c r="B42" i="15"/>
  <c r="AJ41" i="15"/>
  <c r="AH41" i="15"/>
  <c r="AF41" i="15"/>
  <c r="AD41" i="15"/>
  <c r="AB41" i="15"/>
  <c r="Z41" i="15"/>
  <c r="X41" i="15"/>
  <c r="V41" i="15"/>
  <c r="T41" i="15"/>
  <c r="R41" i="15"/>
  <c r="P41" i="15"/>
  <c r="N41" i="15"/>
  <c r="L41" i="15"/>
  <c r="J41" i="15"/>
  <c r="H41" i="15"/>
  <c r="F41" i="15"/>
  <c r="D41" i="15"/>
  <c r="B41" i="15"/>
  <c r="AJ40" i="15"/>
  <c r="AH40" i="15"/>
  <c r="AF40" i="15"/>
  <c r="AD40" i="15"/>
  <c r="AB40" i="15"/>
  <c r="Z40" i="15"/>
  <c r="X40" i="15"/>
  <c r="V40" i="15"/>
  <c r="T40" i="15"/>
  <c r="R40" i="15"/>
  <c r="P40" i="15"/>
  <c r="N40" i="15"/>
  <c r="L40" i="15"/>
  <c r="J40" i="15"/>
  <c r="H40" i="15"/>
  <c r="F40" i="15"/>
  <c r="D40" i="15"/>
  <c r="B40" i="15"/>
  <c r="AJ39" i="15"/>
  <c r="AH39" i="15"/>
  <c r="AF39" i="15"/>
  <c r="AD39" i="15"/>
  <c r="AB39" i="15"/>
  <c r="Z39" i="15"/>
  <c r="X39" i="15"/>
  <c r="V39" i="15"/>
  <c r="T39" i="15"/>
  <c r="R39" i="15"/>
  <c r="P39" i="15"/>
  <c r="N39" i="15"/>
  <c r="L39" i="15"/>
  <c r="J39" i="15"/>
  <c r="H39" i="15"/>
  <c r="F39" i="15"/>
  <c r="D39" i="15"/>
  <c r="B39" i="15"/>
  <c r="AJ38" i="15"/>
  <c r="AH38" i="15"/>
  <c r="AF38" i="15"/>
  <c r="AD38" i="15"/>
  <c r="AB38" i="15"/>
  <c r="Z38" i="15"/>
  <c r="X38" i="15"/>
  <c r="V38" i="15"/>
  <c r="T38" i="15"/>
  <c r="R38" i="15"/>
  <c r="P38" i="15"/>
  <c r="N38" i="15"/>
  <c r="L38" i="15"/>
  <c r="J38" i="15"/>
  <c r="H38" i="15"/>
  <c r="F38" i="15"/>
  <c r="D38" i="15"/>
  <c r="B38" i="15"/>
  <c r="AJ37" i="15"/>
  <c r="AH37" i="15"/>
  <c r="AF37" i="15"/>
  <c r="AD37" i="15"/>
  <c r="AB37" i="15"/>
  <c r="Z37" i="15"/>
  <c r="X37" i="15"/>
  <c r="V37" i="15"/>
  <c r="T37" i="15"/>
  <c r="R37" i="15"/>
  <c r="P37" i="15"/>
  <c r="N37" i="15"/>
  <c r="L37" i="15"/>
  <c r="J37" i="15"/>
  <c r="H37" i="15"/>
  <c r="F37" i="15"/>
  <c r="D37" i="15"/>
  <c r="B37" i="15"/>
  <c r="AJ36" i="15"/>
  <c r="AH36" i="15"/>
  <c r="AF36" i="15"/>
  <c r="AD36" i="15"/>
  <c r="AB36" i="15"/>
  <c r="Z36" i="15"/>
  <c r="X36" i="15"/>
  <c r="V36" i="15"/>
  <c r="T36" i="15"/>
  <c r="R36" i="15"/>
  <c r="P36" i="15"/>
  <c r="N36" i="15"/>
  <c r="L36" i="15"/>
  <c r="J36" i="15"/>
  <c r="H36" i="15"/>
  <c r="F36" i="15"/>
  <c r="D36" i="15"/>
  <c r="B36" i="15"/>
  <c r="AJ32" i="15"/>
  <c r="AH32" i="15"/>
  <c r="AF32" i="15"/>
  <c r="AD32" i="15"/>
  <c r="AB32" i="15"/>
  <c r="Z32" i="15"/>
  <c r="X32" i="15"/>
  <c r="V32" i="15"/>
  <c r="T32" i="15"/>
  <c r="R32" i="15"/>
  <c r="P32" i="15"/>
  <c r="N32" i="15"/>
  <c r="L32" i="15"/>
  <c r="J32" i="15"/>
  <c r="H32" i="15"/>
  <c r="F32" i="15"/>
  <c r="D32" i="15"/>
  <c r="B32" i="15"/>
  <c r="AJ31" i="15"/>
  <c r="AH31" i="15"/>
  <c r="AF31" i="15"/>
  <c r="AD31" i="15"/>
  <c r="AB31" i="15"/>
  <c r="Z31" i="15"/>
  <c r="X31" i="15"/>
  <c r="V31" i="15"/>
  <c r="T31" i="15"/>
  <c r="R31" i="15"/>
  <c r="P31" i="15"/>
  <c r="N31" i="15"/>
  <c r="L31" i="15"/>
  <c r="J31" i="15"/>
  <c r="H31" i="15"/>
  <c r="F31" i="15"/>
  <c r="D31" i="15"/>
  <c r="B31" i="15"/>
  <c r="AJ30" i="15"/>
  <c r="AH30" i="15"/>
  <c r="AF30" i="15"/>
  <c r="AD30" i="15"/>
  <c r="AB30" i="15"/>
  <c r="Z30" i="15"/>
  <c r="X30" i="15"/>
  <c r="V30" i="15"/>
  <c r="T30" i="15"/>
  <c r="R30" i="15"/>
  <c r="P30" i="15"/>
  <c r="N30" i="15"/>
  <c r="L30" i="15"/>
  <c r="J30" i="15"/>
  <c r="H30" i="15"/>
  <c r="F30" i="15"/>
  <c r="D30" i="15"/>
  <c r="B30" i="15"/>
  <c r="AJ29" i="15"/>
  <c r="AH29" i="15"/>
  <c r="AF29" i="15"/>
  <c r="AD29" i="15"/>
  <c r="AB29" i="15"/>
  <c r="Z29" i="15"/>
  <c r="X29" i="15"/>
  <c r="V29" i="15"/>
  <c r="T29" i="15"/>
  <c r="R29" i="15"/>
  <c r="P29" i="15"/>
  <c r="N29" i="15"/>
  <c r="L29" i="15"/>
  <c r="J29" i="15"/>
  <c r="H29" i="15"/>
  <c r="F29" i="15"/>
  <c r="D29" i="15"/>
  <c r="B29" i="15"/>
  <c r="AJ23" i="15"/>
  <c r="AH23" i="15"/>
  <c r="AF23" i="15"/>
  <c r="AD23" i="15"/>
  <c r="AB23" i="15"/>
  <c r="Z23" i="15"/>
  <c r="X23" i="15"/>
  <c r="V23" i="15"/>
  <c r="T23" i="15"/>
  <c r="R23" i="15"/>
  <c r="P23" i="15"/>
  <c r="N23" i="15"/>
  <c r="L23" i="15"/>
  <c r="J23" i="15"/>
  <c r="H23" i="15"/>
  <c r="F23" i="15"/>
  <c r="D23" i="15"/>
  <c r="B23" i="15"/>
  <c r="AJ22" i="15"/>
  <c r="AH22" i="15"/>
  <c r="AF22" i="15"/>
  <c r="AD22" i="15"/>
  <c r="AB22" i="15"/>
  <c r="Z22" i="15"/>
  <c r="X22" i="15"/>
  <c r="V22" i="15"/>
  <c r="T22" i="15"/>
  <c r="R22" i="15"/>
  <c r="P22" i="15"/>
  <c r="N22" i="15"/>
  <c r="L22" i="15"/>
  <c r="J22" i="15"/>
  <c r="H22" i="15"/>
  <c r="F22" i="15"/>
  <c r="D22" i="15"/>
  <c r="B22" i="15"/>
  <c r="AJ21" i="15"/>
  <c r="AH21" i="15"/>
  <c r="AF21" i="15"/>
  <c r="AD21" i="15"/>
  <c r="AB21" i="15"/>
  <c r="Z21" i="15"/>
  <c r="X21" i="15"/>
  <c r="V21" i="15"/>
  <c r="T21" i="15"/>
  <c r="R21" i="15"/>
  <c r="P21" i="15"/>
  <c r="N21" i="15"/>
  <c r="L21" i="15"/>
  <c r="J21" i="15"/>
  <c r="H21" i="15"/>
  <c r="F21" i="15"/>
  <c r="D21" i="15"/>
  <c r="B21" i="15"/>
  <c r="AJ20" i="15"/>
  <c r="AH20" i="15"/>
  <c r="AF20" i="15"/>
  <c r="AD20" i="15"/>
  <c r="AB20" i="15"/>
  <c r="Z20" i="15"/>
  <c r="X20" i="15"/>
  <c r="V20" i="15"/>
  <c r="T20" i="15"/>
  <c r="R20" i="15"/>
  <c r="P20" i="15"/>
  <c r="N20" i="15"/>
  <c r="L20" i="15"/>
  <c r="J20" i="15"/>
  <c r="H20" i="15"/>
  <c r="F20" i="15"/>
  <c r="D20" i="15"/>
  <c r="B20" i="15"/>
  <c r="AJ19" i="15"/>
  <c r="AH19" i="15"/>
  <c r="AF19" i="15"/>
  <c r="AD19" i="15"/>
  <c r="AB19" i="15"/>
  <c r="Z19" i="15"/>
  <c r="X19" i="15"/>
  <c r="V19" i="15"/>
  <c r="T19" i="15"/>
  <c r="R19" i="15"/>
  <c r="P19" i="15"/>
  <c r="N19" i="15"/>
  <c r="L19" i="15"/>
  <c r="J19" i="15"/>
  <c r="H19" i="15"/>
  <c r="F19" i="15"/>
  <c r="D19" i="15"/>
  <c r="B19" i="15"/>
  <c r="AJ18" i="15"/>
  <c r="AH18" i="15"/>
  <c r="AF18" i="15"/>
  <c r="AD18" i="15"/>
  <c r="AB18" i="15"/>
  <c r="Z18" i="15"/>
  <c r="X18" i="15"/>
  <c r="V18" i="15"/>
  <c r="T18" i="15"/>
  <c r="R18" i="15"/>
  <c r="P18" i="15"/>
  <c r="N18" i="15"/>
  <c r="L18" i="15"/>
  <c r="J18" i="15"/>
  <c r="H18" i="15"/>
  <c r="F18" i="15"/>
  <c r="D18" i="15"/>
  <c r="B18" i="15"/>
  <c r="AJ17" i="15"/>
  <c r="AH17" i="15"/>
  <c r="AF17" i="15"/>
  <c r="AD17" i="15"/>
  <c r="AB17" i="15"/>
  <c r="Z17" i="15"/>
  <c r="X17" i="15"/>
  <c r="V17" i="15"/>
  <c r="T17" i="15"/>
  <c r="R17" i="15"/>
  <c r="P17" i="15"/>
  <c r="N17" i="15"/>
  <c r="L17" i="15"/>
  <c r="J17" i="15"/>
  <c r="H17" i="15"/>
  <c r="F17" i="15"/>
  <c r="D17" i="15"/>
  <c r="B17" i="15"/>
  <c r="AJ16" i="15"/>
  <c r="AH16" i="15"/>
  <c r="AF16" i="15"/>
  <c r="AD16" i="15"/>
  <c r="AB16" i="15"/>
  <c r="Z16" i="15"/>
  <c r="X16" i="15"/>
  <c r="V16" i="15"/>
  <c r="T16" i="15"/>
  <c r="R16" i="15"/>
  <c r="P16" i="15"/>
  <c r="N16" i="15"/>
  <c r="L16" i="15"/>
  <c r="J16" i="15"/>
  <c r="H16" i="15"/>
  <c r="F16" i="15"/>
  <c r="D16" i="15"/>
  <c r="B16" i="15"/>
  <c r="AJ12" i="15"/>
  <c r="AH12" i="15"/>
  <c r="AF12" i="15"/>
  <c r="AD12" i="15"/>
  <c r="AB12" i="15"/>
  <c r="Z12" i="15"/>
  <c r="X12" i="15"/>
  <c r="V12" i="15"/>
  <c r="T12" i="15"/>
  <c r="R12" i="15"/>
  <c r="P12" i="15"/>
  <c r="N12" i="15"/>
  <c r="L12" i="15"/>
  <c r="J12" i="15"/>
  <c r="H12" i="15"/>
  <c r="F12" i="15"/>
  <c r="D12" i="15"/>
  <c r="B12" i="15"/>
  <c r="AJ11" i="15"/>
  <c r="AH11" i="15"/>
  <c r="AF11" i="15"/>
  <c r="AD11" i="15"/>
  <c r="AB11" i="15"/>
  <c r="Z11" i="15"/>
  <c r="X11" i="15"/>
  <c r="V11" i="15"/>
  <c r="T11" i="15"/>
  <c r="R11" i="15"/>
  <c r="P11" i="15"/>
  <c r="N11" i="15"/>
  <c r="L11" i="15"/>
  <c r="J11" i="15"/>
  <c r="H11" i="15"/>
  <c r="F11" i="15"/>
  <c r="D11" i="15"/>
  <c r="B11" i="15"/>
  <c r="AJ10" i="15"/>
  <c r="AH10" i="15"/>
  <c r="AF10" i="15"/>
  <c r="AD10" i="15"/>
  <c r="AB10" i="15"/>
  <c r="Z10" i="15"/>
  <c r="X10" i="15"/>
  <c r="V10" i="15"/>
  <c r="T10" i="15"/>
  <c r="R10" i="15"/>
  <c r="P10" i="15"/>
  <c r="N10" i="15"/>
  <c r="L10" i="15"/>
  <c r="J10" i="15"/>
  <c r="H10" i="15"/>
  <c r="F10" i="15"/>
  <c r="D10" i="15"/>
  <c r="B10" i="15"/>
  <c r="AJ9" i="15"/>
  <c r="AH9" i="15"/>
  <c r="AF9" i="15"/>
  <c r="AD9" i="15"/>
  <c r="AB9" i="15"/>
  <c r="Z9" i="15"/>
  <c r="X9" i="15"/>
  <c r="V9" i="15"/>
  <c r="T9" i="15"/>
  <c r="R9" i="15"/>
  <c r="P9" i="15"/>
  <c r="N9" i="15"/>
  <c r="L9" i="15"/>
  <c r="J9" i="15"/>
  <c r="H9" i="15"/>
  <c r="F9" i="15"/>
  <c r="D9" i="15"/>
  <c r="B9" i="15"/>
  <c r="AJ8" i="15"/>
  <c r="AH8" i="15"/>
  <c r="AF8" i="15"/>
  <c r="AD8" i="15"/>
  <c r="AB8" i="15"/>
  <c r="Z8" i="15"/>
  <c r="X8" i="15"/>
  <c r="V8" i="15"/>
  <c r="T8" i="15"/>
  <c r="R8" i="15"/>
  <c r="P8" i="15"/>
  <c r="N8" i="15"/>
  <c r="L8" i="15"/>
  <c r="J8" i="15"/>
  <c r="H8" i="15"/>
  <c r="F8" i="15"/>
  <c r="D8" i="15"/>
  <c r="B8" i="15"/>
  <c r="F84" i="13"/>
  <c r="G49" i="18" l="1"/>
  <c r="F73" i="16" s="1"/>
  <c r="G28" i="18"/>
  <c r="F47" i="16" s="1"/>
  <c r="G32" i="18"/>
  <c r="F51" i="16" s="1"/>
  <c r="G47" i="18"/>
  <c r="F71" i="16" s="1"/>
  <c r="G51" i="18"/>
  <c r="F75" i="16" s="1"/>
  <c r="G53" i="18"/>
  <c r="F77" i="16" s="1"/>
  <c r="G55" i="18"/>
  <c r="F79" i="16" s="1"/>
  <c r="L24" i="15"/>
  <c r="M18" i="15" s="1"/>
  <c r="L53" i="15"/>
  <c r="M40" i="15" s="1"/>
  <c r="G7" i="18"/>
  <c r="F13" i="16" s="1"/>
  <c r="G27" i="18"/>
  <c r="F46" i="16" s="1"/>
  <c r="G31" i="18"/>
  <c r="F50" i="16" s="1"/>
  <c r="G35" i="18"/>
  <c r="F54" i="16" s="1"/>
  <c r="G39" i="18"/>
  <c r="F62" i="16" s="1"/>
  <c r="G46" i="18"/>
  <c r="F70" i="16" s="1"/>
  <c r="G54" i="18"/>
  <c r="F78" i="16" s="1"/>
  <c r="B9" i="19"/>
  <c r="C8" i="19" s="1"/>
  <c r="AM11" i="15"/>
  <c r="G37" i="18"/>
  <c r="F60" i="16" s="1"/>
  <c r="D41" i="18"/>
  <c r="E32" i="18" s="1"/>
  <c r="G45" i="18"/>
  <c r="F69" i="16" s="1"/>
  <c r="AD53" i="15"/>
  <c r="AE40" i="15" s="1"/>
  <c r="B62" i="17"/>
  <c r="C56" i="17" s="1"/>
  <c r="D57" i="18"/>
  <c r="E50" i="18" s="1"/>
  <c r="B44" i="19"/>
  <c r="C34" i="19" s="1"/>
  <c r="G8" i="18"/>
  <c r="F16" i="16" s="1"/>
  <c r="B11" i="17"/>
  <c r="C9" i="17" s="1"/>
  <c r="G9" i="18"/>
  <c r="F17" i="16" s="1"/>
  <c r="G29" i="18"/>
  <c r="F48" i="16" s="1"/>
  <c r="G36" i="18"/>
  <c r="F55" i="16" s="1"/>
  <c r="G33" i="18"/>
  <c r="F52" i="16" s="1"/>
  <c r="G40" i="18"/>
  <c r="F63" i="16" s="1"/>
  <c r="G50" i="18"/>
  <c r="F74" i="16" s="1"/>
  <c r="B28" i="19"/>
  <c r="B41" i="18"/>
  <c r="C32" i="18" s="1"/>
  <c r="B21" i="18"/>
  <c r="C19" i="18" s="1"/>
  <c r="D19" i="18" s="1"/>
  <c r="G26" i="18"/>
  <c r="F43" i="16" s="1"/>
  <c r="G30" i="18"/>
  <c r="F49" i="16" s="1"/>
  <c r="G34" i="18"/>
  <c r="F53" i="16" s="1"/>
  <c r="G38" i="18"/>
  <c r="F61" i="16" s="1"/>
  <c r="G48" i="18"/>
  <c r="F72" i="16" s="1"/>
  <c r="G52" i="18"/>
  <c r="F76" i="16" s="1"/>
  <c r="G56" i="18"/>
  <c r="F80" i="16" s="1"/>
  <c r="G44" i="18"/>
  <c r="F68" i="16" s="1"/>
  <c r="B57" i="18"/>
  <c r="C49" i="18" s="1"/>
  <c r="B10" i="18"/>
  <c r="D10" i="18"/>
  <c r="E9" i="18" s="1"/>
  <c r="B22" i="17"/>
  <c r="C22" i="17" s="1"/>
  <c r="B46" i="17"/>
  <c r="C28" i="17" s="1"/>
  <c r="K87" i="16"/>
  <c r="N13" i="15"/>
  <c r="O8" i="15" s="1"/>
  <c r="AD13" i="15"/>
  <c r="AE10" i="15" s="1"/>
  <c r="J24" i="15"/>
  <c r="K17" i="15" s="1"/>
  <c r="Z24" i="15"/>
  <c r="AA18" i="15" s="1"/>
  <c r="J33" i="15"/>
  <c r="K29" i="15" s="1"/>
  <c r="Z33" i="15"/>
  <c r="AA30" i="15" s="1"/>
  <c r="AB24" i="15"/>
  <c r="AC17" i="15" s="1"/>
  <c r="AM19" i="15"/>
  <c r="AM23" i="15"/>
  <c r="AD33" i="15"/>
  <c r="AE30" i="15" s="1"/>
  <c r="AM32" i="15"/>
  <c r="AB53" i="15"/>
  <c r="AC47" i="15" s="1"/>
  <c r="AM42" i="15"/>
  <c r="AM46" i="15"/>
  <c r="P33" i="15"/>
  <c r="Q29" i="15" s="1"/>
  <c r="F13" i="15"/>
  <c r="G11" i="15" s="1"/>
  <c r="V13" i="15"/>
  <c r="W10" i="15" s="1"/>
  <c r="AM9" i="15"/>
  <c r="AM16" i="15"/>
  <c r="R24" i="15"/>
  <c r="S17" i="15" s="1"/>
  <c r="AH24" i="15"/>
  <c r="AI17" i="15" s="1"/>
  <c r="AM20" i="15"/>
  <c r="R33" i="15"/>
  <c r="S29" i="15" s="1"/>
  <c r="AH33" i="15"/>
  <c r="AI30" i="15" s="1"/>
  <c r="R53" i="15"/>
  <c r="S40" i="15" s="1"/>
  <c r="AJ24" i="15"/>
  <c r="AK20" i="15" s="1"/>
  <c r="D33" i="15"/>
  <c r="E31" i="15" s="1"/>
  <c r="T33" i="15"/>
  <c r="U32" i="15" s="1"/>
  <c r="F33" i="15"/>
  <c r="G30" i="15" s="1"/>
  <c r="F53" i="15"/>
  <c r="G42" i="15" s="1"/>
  <c r="AM40" i="15"/>
  <c r="T24" i="15"/>
  <c r="U23" i="15" s="1"/>
  <c r="AM10" i="15"/>
  <c r="AM17" i="15"/>
  <c r="AM21" i="15"/>
  <c r="H33" i="15"/>
  <c r="I30" i="15" s="1"/>
  <c r="AM37" i="15"/>
  <c r="J53" i="15"/>
  <c r="K38" i="15" s="1"/>
  <c r="AM18" i="15"/>
  <c r="N24" i="15"/>
  <c r="O23" i="15" s="1"/>
  <c r="B33" i="15"/>
  <c r="C29" i="15" s="1"/>
  <c r="AM41" i="15"/>
  <c r="AM12" i="15"/>
  <c r="H13" i="15"/>
  <c r="I12" i="15" s="1"/>
  <c r="P13" i="15"/>
  <c r="Q11" i="15" s="1"/>
  <c r="X13" i="15"/>
  <c r="Y11" i="15" s="1"/>
  <c r="AF13" i="15"/>
  <c r="AG12" i="15" s="1"/>
  <c r="AM22" i="15"/>
  <c r="B24" i="15"/>
  <c r="C17" i="15" s="1"/>
  <c r="AD24" i="15"/>
  <c r="AE23" i="15" s="1"/>
  <c r="P24" i="15"/>
  <c r="Q19" i="15" s="1"/>
  <c r="AF24" i="15"/>
  <c r="AG17" i="15" s="1"/>
  <c r="V33" i="15"/>
  <c r="W31" i="15" s="1"/>
  <c r="B53" i="15"/>
  <c r="C41" i="15" s="1"/>
  <c r="T53" i="15"/>
  <c r="U38" i="15" s="1"/>
  <c r="AM36" i="15"/>
  <c r="J13" i="15"/>
  <c r="K9" i="15" s="1"/>
  <c r="R13" i="15"/>
  <c r="S11" i="15" s="1"/>
  <c r="AH13" i="15"/>
  <c r="AI9" i="15" s="1"/>
  <c r="D24" i="15"/>
  <c r="E19" i="15" s="1"/>
  <c r="AM29" i="15"/>
  <c r="AM48" i="15"/>
  <c r="B13" i="15"/>
  <c r="C8" i="15" s="1"/>
  <c r="Z13" i="15"/>
  <c r="AA8" i="15" s="1"/>
  <c r="F24" i="15"/>
  <c r="G23" i="15" s="1"/>
  <c r="AB33" i="15"/>
  <c r="AC31" i="15" s="1"/>
  <c r="D53" i="15"/>
  <c r="E40" i="15" s="1"/>
  <c r="V53" i="15"/>
  <c r="W38" i="15" s="1"/>
  <c r="AM38" i="15"/>
  <c r="AM44" i="15"/>
  <c r="D13" i="15"/>
  <c r="E9" i="15" s="1"/>
  <c r="L13" i="15"/>
  <c r="M8" i="15" s="1"/>
  <c r="T13" i="15"/>
  <c r="U8" i="15" s="1"/>
  <c r="AB13" i="15"/>
  <c r="AC11" i="15" s="1"/>
  <c r="AJ13" i="15"/>
  <c r="V24" i="15"/>
  <c r="W23" i="15" s="1"/>
  <c r="AM30" i="15"/>
  <c r="L33" i="15"/>
  <c r="N53" i="15"/>
  <c r="O43" i="15" s="1"/>
  <c r="AF53" i="15"/>
  <c r="AG40" i="15" s="1"/>
  <c r="AM8" i="15"/>
  <c r="H24" i="15"/>
  <c r="I16" i="15" s="1"/>
  <c r="X24" i="15"/>
  <c r="Y22" i="15" s="1"/>
  <c r="AM31" i="15"/>
  <c r="N33" i="15"/>
  <c r="O32" i="15" s="1"/>
  <c r="AF33" i="15"/>
  <c r="X53" i="15"/>
  <c r="Y36" i="15" s="1"/>
  <c r="Y53" i="15" s="1"/>
  <c r="AH53" i="15"/>
  <c r="AI37" i="15" s="1"/>
  <c r="AM39" i="15"/>
  <c r="AM51" i="15"/>
  <c r="X33" i="15"/>
  <c r="Y32" i="15" s="1"/>
  <c r="P53" i="15"/>
  <c r="Q40" i="15" s="1"/>
  <c r="Z53" i="15"/>
  <c r="AA44" i="15" s="1"/>
  <c r="AM47" i="15"/>
  <c r="AM49" i="15"/>
  <c r="AJ33" i="15"/>
  <c r="AK32" i="15" s="1"/>
  <c r="H53" i="15"/>
  <c r="I36" i="15" s="1"/>
  <c r="I53" i="15" s="1"/>
  <c r="AJ53" i="15"/>
  <c r="AK47" i="15" s="1"/>
  <c r="AM43" i="15"/>
  <c r="P69" i="15"/>
  <c r="Q57" i="15" s="1"/>
  <c r="AF69" i="15"/>
  <c r="AG64" i="15" s="1"/>
  <c r="AE49" i="15"/>
  <c r="AM50" i="15"/>
  <c r="AM63" i="15"/>
  <c r="M44" i="15"/>
  <c r="AM45" i="15"/>
  <c r="AM61" i="15"/>
  <c r="AM52" i="15"/>
  <c r="X69" i="15"/>
  <c r="Y60" i="15" s="1"/>
  <c r="M52" i="15"/>
  <c r="J69" i="15"/>
  <c r="K56" i="15" s="1"/>
  <c r="AM58" i="15"/>
  <c r="AM66" i="15"/>
  <c r="B69" i="15"/>
  <c r="R69" i="15"/>
  <c r="S56" i="15" s="1"/>
  <c r="AH69" i="15"/>
  <c r="AI67" i="15" s="1"/>
  <c r="D69" i="15"/>
  <c r="E61" i="15" s="1"/>
  <c r="T69" i="15"/>
  <c r="U64" i="15" s="1"/>
  <c r="AJ69" i="15"/>
  <c r="AK57" i="15" s="1"/>
  <c r="F69" i="15"/>
  <c r="G63" i="15" s="1"/>
  <c r="V69" i="15"/>
  <c r="W66" i="15" s="1"/>
  <c r="AM56" i="15"/>
  <c r="AM64" i="15"/>
  <c r="AM59" i="15"/>
  <c r="AM67" i="15"/>
  <c r="Z69" i="15"/>
  <c r="AA57" i="15" s="1"/>
  <c r="AM62" i="15"/>
  <c r="AM68" i="15"/>
  <c r="L69" i="15"/>
  <c r="M57" i="15" s="1"/>
  <c r="AB69" i="15"/>
  <c r="AC60" i="15" s="1"/>
  <c r="AM57" i="15"/>
  <c r="AM65" i="15"/>
  <c r="N69" i="15"/>
  <c r="O57" i="15" s="1"/>
  <c r="AD69" i="15"/>
  <c r="AE67" i="15" s="1"/>
  <c r="AM60" i="15"/>
  <c r="H69" i="15"/>
  <c r="I64" i="15" s="1"/>
  <c r="F24" i="11"/>
  <c r="F23" i="11"/>
  <c r="F15" i="11"/>
  <c r="F14" i="11"/>
  <c r="F10" i="11"/>
  <c r="F11" i="11"/>
  <c r="B37" i="8"/>
  <c r="G72" i="13"/>
  <c r="M43" i="15" l="1"/>
  <c r="M39" i="15"/>
  <c r="M36" i="15"/>
  <c r="M53" i="15" s="1"/>
  <c r="M49" i="15"/>
  <c r="M45" i="15"/>
  <c r="S32" i="15"/>
  <c r="M47" i="15"/>
  <c r="M48" i="15"/>
  <c r="M42" i="15"/>
  <c r="AE39" i="15"/>
  <c r="U30" i="15"/>
  <c r="M38" i="15"/>
  <c r="AE46" i="15"/>
  <c r="AI16" i="15"/>
  <c r="M41" i="15"/>
  <c r="M46" i="15"/>
  <c r="M37" i="15"/>
  <c r="AA29" i="15"/>
  <c r="AE12" i="15"/>
  <c r="M22" i="15"/>
  <c r="E49" i="18"/>
  <c r="M51" i="15"/>
  <c r="U29" i="15"/>
  <c r="M50" i="15"/>
  <c r="E31" i="18"/>
  <c r="U19" i="15"/>
  <c r="C60" i="17"/>
  <c r="E60" i="15"/>
  <c r="C40" i="19"/>
  <c r="C51" i="17"/>
  <c r="C37" i="19"/>
  <c r="C7" i="19"/>
  <c r="C9" i="19" s="1"/>
  <c r="C43" i="19"/>
  <c r="C28" i="19"/>
  <c r="C33" i="19"/>
  <c r="E38" i="18"/>
  <c r="E35" i="18"/>
  <c r="E37" i="18"/>
  <c r="E30" i="18"/>
  <c r="E40" i="18"/>
  <c r="E29" i="15"/>
  <c r="E63" i="15"/>
  <c r="AC52" i="15"/>
  <c r="C23" i="15"/>
  <c r="M23" i="15"/>
  <c r="AC48" i="15"/>
  <c r="K48" i="15"/>
  <c r="AC36" i="15"/>
  <c r="AC53" i="15" s="1"/>
  <c r="AA16" i="15"/>
  <c r="M19" i="15"/>
  <c r="W50" i="15"/>
  <c r="E32" i="15"/>
  <c r="AC37" i="15"/>
  <c r="E67" i="15"/>
  <c r="M17" i="15"/>
  <c r="AE45" i="15"/>
  <c r="AE51" i="15"/>
  <c r="AC51" i="15"/>
  <c r="AE36" i="15"/>
  <c r="AE53" i="15" s="1"/>
  <c r="M16" i="15"/>
  <c r="AA31" i="15"/>
  <c r="AC41" i="15"/>
  <c r="Q62" i="15"/>
  <c r="AE47" i="15"/>
  <c r="AC43" i="15"/>
  <c r="M21" i="15"/>
  <c r="G65" i="15"/>
  <c r="AE43" i="15"/>
  <c r="AC45" i="15"/>
  <c r="E30" i="15"/>
  <c r="M20" i="15"/>
  <c r="AE52" i="15"/>
  <c r="B79" i="7"/>
  <c r="B79" i="16"/>
  <c r="B51" i="16"/>
  <c r="B51" i="7"/>
  <c r="B12" i="7"/>
  <c r="B12" i="16"/>
  <c r="B69" i="16"/>
  <c r="B69" i="7"/>
  <c r="E62" i="15"/>
  <c r="B70" i="7"/>
  <c r="B70" i="16"/>
  <c r="B45" i="16"/>
  <c r="B45" i="7"/>
  <c r="Q31" i="15"/>
  <c r="B48" i="7"/>
  <c r="B48" i="16"/>
  <c r="B44" i="16"/>
  <c r="B44" i="7"/>
  <c r="B30" i="7"/>
  <c r="B30" i="16"/>
  <c r="B36" i="7"/>
  <c r="B36" i="16"/>
  <c r="B60" i="7"/>
  <c r="B60" i="16"/>
  <c r="B29" i="16"/>
  <c r="B29" i="7"/>
  <c r="B28" i="16"/>
  <c r="B28" i="7"/>
  <c r="B26" i="16"/>
  <c r="B26" i="7"/>
  <c r="B72" i="7"/>
  <c r="B72" i="16"/>
  <c r="B62" i="16"/>
  <c r="B62" i="7"/>
  <c r="B80" i="7"/>
  <c r="B80" i="16"/>
  <c r="B76" i="16"/>
  <c r="B76" i="7"/>
  <c r="K47" i="15"/>
  <c r="W49" i="15"/>
  <c r="K46" i="15"/>
  <c r="B38" i="16"/>
  <c r="B38" i="7"/>
  <c r="K23" i="15"/>
  <c r="AK18" i="15"/>
  <c r="B24" i="7"/>
  <c r="B24" i="16"/>
  <c r="Q30" i="15"/>
  <c r="B27" i="16"/>
  <c r="B27" i="7"/>
  <c r="B53" i="16"/>
  <c r="B53" i="7"/>
  <c r="B52" i="16"/>
  <c r="B52" i="7"/>
  <c r="B74" i="16"/>
  <c r="B74" i="7"/>
  <c r="B75" i="16"/>
  <c r="B75" i="7"/>
  <c r="B46" i="7"/>
  <c r="B46" i="16"/>
  <c r="AE32" i="15"/>
  <c r="B68" i="16"/>
  <c r="B68" i="7"/>
  <c r="B50" i="16"/>
  <c r="B50" i="7"/>
  <c r="B54" i="7"/>
  <c r="B54" i="16"/>
  <c r="B25" i="16"/>
  <c r="B25" i="7"/>
  <c r="B10" i="16"/>
  <c r="B10" i="7"/>
  <c r="B49" i="16"/>
  <c r="B49" i="7"/>
  <c r="B77" i="16"/>
  <c r="B77" i="7"/>
  <c r="E57" i="15"/>
  <c r="C69" i="15"/>
  <c r="B63" i="16"/>
  <c r="B63" i="7"/>
  <c r="B61" i="16"/>
  <c r="B61" i="7"/>
  <c r="W39" i="15"/>
  <c r="K49" i="15"/>
  <c r="S31" i="15"/>
  <c r="AE31" i="15"/>
  <c r="B78" i="7"/>
  <c r="B78" i="16"/>
  <c r="B37" i="7"/>
  <c r="B37" i="16"/>
  <c r="AI32" i="15"/>
  <c r="B55" i="7"/>
  <c r="B55" i="16"/>
  <c r="B43" i="16"/>
  <c r="B43" i="7"/>
  <c r="B47" i="7"/>
  <c r="B47" i="16"/>
  <c r="B23" i="7"/>
  <c r="B23" i="16"/>
  <c r="B39" i="16"/>
  <c r="B39" i="7"/>
  <c r="B71" i="7"/>
  <c r="B71" i="16"/>
  <c r="B73" i="16"/>
  <c r="B73" i="7"/>
  <c r="B8" i="16"/>
  <c r="B8" i="7"/>
  <c r="B9" i="16"/>
  <c r="B9" i="7"/>
  <c r="B11" i="16"/>
  <c r="B11" i="7"/>
  <c r="C58" i="15"/>
  <c r="O49" i="15"/>
  <c r="W8" i="15"/>
  <c r="C62" i="15"/>
  <c r="W9" i="15"/>
  <c r="C65" i="15"/>
  <c r="W12" i="15"/>
  <c r="C51" i="18"/>
  <c r="C10" i="17"/>
  <c r="M59" i="15"/>
  <c r="G29" i="15"/>
  <c r="C55" i="17"/>
  <c r="AE44" i="15"/>
  <c r="AE48" i="15"/>
  <c r="K44" i="15"/>
  <c r="AA20" i="15"/>
  <c r="AI29" i="15"/>
  <c r="AC39" i="15"/>
  <c r="E39" i="18"/>
  <c r="E55" i="18"/>
  <c r="E33" i="18"/>
  <c r="E36" i="18"/>
  <c r="E34" i="18"/>
  <c r="K51" i="15"/>
  <c r="G43" i="15"/>
  <c r="G52" i="15"/>
  <c r="AE50" i="15"/>
  <c r="AC46" i="15"/>
  <c r="G51" i="15"/>
  <c r="K20" i="15"/>
  <c r="AI31" i="15"/>
  <c r="E44" i="18"/>
  <c r="E28" i="18"/>
  <c r="E51" i="18"/>
  <c r="E27" i="18"/>
  <c r="G49" i="15"/>
  <c r="K43" i="15"/>
  <c r="G50" i="15"/>
  <c r="AE41" i="15"/>
  <c r="G39" i="15"/>
  <c r="AA23" i="15"/>
  <c r="K22" i="15"/>
  <c r="AK22" i="15"/>
  <c r="E26" i="18"/>
  <c r="E48" i="18"/>
  <c r="E54" i="18"/>
  <c r="E29" i="18"/>
  <c r="E47" i="18"/>
  <c r="O11" i="15"/>
  <c r="G10" i="15"/>
  <c r="E46" i="18"/>
  <c r="E53" i="18"/>
  <c r="E52" i="18"/>
  <c r="AC44" i="15"/>
  <c r="AC49" i="15"/>
  <c r="AC38" i="15"/>
  <c r="AE42" i="15"/>
  <c r="K36" i="15"/>
  <c r="K53" i="15" s="1"/>
  <c r="K16" i="15"/>
  <c r="E56" i="18"/>
  <c r="E45" i="18"/>
  <c r="C44" i="19"/>
  <c r="AG63" i="15"/>
  <c r="AC50" i="15"/>
  <c r="U31" i="15"/>
  <c r="U21" i="15"/>
  <c r="AA17" i="15"/>
  <c r="C61" i="17"/>
  <c r="C24" i="19"/>
  <c r="C17" i="19"/>
  <c r="G10" i="18"/>
  <c r="H7" i="18" s="1"/>
  <c r="C50" i="17"/>
  <c r="AC64" i="15"/>
  <c r="Y57" i="15"/>
  <c r="AG58" i="15"/>
  <c r="E42" i="15"/>
  <c r="AC42" i="15"/>
  <c r="AG8" i="15"/>
  <c r="AA19" i="15"/>
  <c r="AA22" i="15"/>
  <c r="U18" i="15"/>
  <c r="AE37" i="15"/>
  <c r="C53" i="17"/>
  <c r="C36" i="18"/>
  <c r="C41" i="19"/>
  <c r="C59" i="17"/>
  <c r="C39" i="18"/>
  <c r="O75" i="15"/>
  <c r="AC40" i="15"/>
  <c r="C52" i="17"/>
  <c r="G68" i="15"/>
  <c r="AG66" i="15"/>
  <c r="G67" i="15"/>
  <c r="AK23" i="15"/>
  <c r="AI23" i="15"/>
  <c r="AE38" i="15"/>
  <c r="C49" i="17"/>
  <c r="C62" i="17" s="1"/>
  <c r="C19" i="17"/>
  <c r="C32" i="19"/>
  <c r="C54" i="17"/>
  <c r="AI68" i="15"/>
  <c r="W30" i="15"/>
  <c r="U16" i="15"/>
  <c r="G31" i="15"/>
  <c r="U20" i="15"/>
  <c r="AI19" i="15"/>
  <c r="C57" i="17"/>
  <c r="C31" i="19"/>
  <c r="C21" i="19"/>
  <c r="O9" i="15"/>
  <c r="O10" i="15"/>
  <c r="C21" i="17"/>
  <c r="B46" i="19"/>
  <c r="C46" i="19" s="1"/>
  <c r="C58" i="17"/>
  <c r="W58" i="15"/>
  <c r="AG68" i="15"/>
  <c r="W59" i="15"/>
  <c r="W56" i="15"/>
  <c r="AI36" i="15"/>
  <c r="AI53" i="15" s="1"/>
  <c r="G8" i="15"/>
  <c r="G75" i="15"/>
  <c r="G9" i="15"/>
  <c r="AE9" i="15"/>
  <c r="C28" i="18"/>
  <c r="C18" i="18"/>
  <c r="D18" i="18" s="1"/>
  <c r="G18" i="18" s="1"/>
  <c r="F28" i="16" s="1"/>
  <c r="C15" i="18"/>
  <c r="D15" i="18" s="1"/>
  <c r="G15" i="18" s="1"/>
  <c r="F25" i="16" s="1"/>
  <c r="C14" i="18"/>
  <c r="D14" i="18" s="1"/>
  <c r="G14" i="18" s="1"/>
  <c r="F24" i="16" s="1"/>
  <c r="C20" i="18"/>
  <c r="D20" i="18" s="1"/>
  <c r="G20" i="18" s="1"/>
  <c r="F30" i="16" s="1"/>
  <c r="M67" i="15"/>
  <c r="O61" i="15"/>
  <c r="S68" i="15"/>
  <c r="W67" i="15"/>
  <c r="AG65" i="15"/>
  <c r="AG43" i="15"/>
  <c r="C32" i="15"/>
  <c r="AE29" i="15"/>
  <c r="AK16" i="15"/>
  <c r="K37" i="15"/>
  <c r="K45" i="15"/>
  <c r="U17" i="15"/>
  <c r="K30" i="15"/>
  <c r="C55" i="18"/>
  <c r="C39" i="19"/>
  <c r="C36" i="19"/>
  <c r="C35" i="19"/>
  <c r="C42" i="19"/>
  <c r="C8" i="17"/>
  <c r="C11" i="17" s="1"/>
  <c r="C38" i="19"/>
  <c r="K32" i="15"/>
  <c r="E10" i="15"/>
  <c r="C48" i="18"/>
  <c r="C47" i="18"/>
  <c r="C56" i="18"/>
  <c r="AC63" i="15"/>
  <c r="AA62" i="15"/>
  <c r="I31" i="15"/>
  <c r="C16" i="15"/>
  <c r="C24" i="15" s="1"/>
  <c r="G47" i="15"/>
  <c r="AE75" i="15"/>
  <c r="K19" i="15"/>
  <c r="K31" i="15"/>
  <c r="K18" i="15"/>
  <c r="C46" i="18"/>
  <c r="O64" i="15"/>
  <c r="Q66" i="15"/>
  <c r="O63" i="15"/>
  <c r="C47" i="15"/>
  <c r="AA51" i="15"/>
  <c r="AC56" i="15"/>
  <c r="AG57" i="15"/>
  <c r="AA43" i="15"/>
  <c r="AG42" i="15"/>
  <c r="C42" i="15"/>
  <c r="K52" i="15"/>
  <c r="G46" i="15"/>
  <c r="AA41" i="15"/>
  <c r="AE8" i="15"/>
  <c r="S43" i="15"/>
  <c r="AC18" i="15"/>
  <c r="AE11" i="15"/>
  <c r="K21" i="15"/>
  <c r="C40" i="18"/>
  <c r="C37" i="18"/>
  <c r="C26" i="18"/>
  <c r="C19" i="19"/>
  <c r="W65" i="15"/>
  <c r="I29" i="15"/>
  <c r="C13" i="18"/>
  <c r="D13" i="18" s="1"/>
  <c r="G13" i="18" s="1"/>
  <c r="F23" i="16" s="1"/>
  <c r="C22" i="19"/>
  <c r="C13" i="19"/>
  <c r="C25" i="19"/>
  <c r="C14" i="19"/>
  <c r="C27" i="19"/>
  <c r="C16" i="19"/>
  <c r="C23" i="19"/>
  <c r="C12" i="19"/>
  <c r="C26" i="19"/>
  <c r="C20" i="19"/>
  <c r="C15" i="19"/>
  <c r="C18" i="19"/>
  <c r="E8" i="18"/>
  <c r="E57" i="18"/>
  <c r="C44" i="18"/>
  <c r="B23" i="18"/>
  <c r="C41" i="18"/>
  <c r="G57" i="18"/>
  <c r="H56" i="18" s="1"/>
  <c r="C34" i="18"/>
  <c r="C54" i="18"/>
  <c r="C21" i="18"/>
  <c r="C29" i="18"/>
  <c r="C35" i="18"/>
  <c r="C16" i="18"/>
  <c r="D16" i="18" s="1"/>
  <c r="C38" i="18"/>
  <c r="C57" i="18"/>
  <c r="G41" i="18"/>
  <c r="H34" i="18" s="1"/>
  <c r="C33" i="18"/>
  <c r="C53" i="18"/>
  <c r="C52" i="18"/>
  <c r="C31" i="18"/>
  <c r="C50" i="18"/>
  <c r="G19" i="18"/>
  <c r="F29" i="16" s="1"/>
  <c r="C45" i="18"/>
  <c r="C17" i="18"/>
  <c r="D17" i="18" s="1"/>
  <c r="C27" i="18"/>
  <c r="C30" i="18"/>
  <c r="E7" i="18"/>
  <c r="E41" i="18"/>
  <c r="C40" i="17"/>
  <c r="C17" i="17"/>
  <c r="C15" i="17"/>
  <c r="C43" i="17"/>
  <c r="C32" i="17"/>
  <c r="C39" i="17"/>
  <c r="C14" i="17"/>
  <c r="C33" i="17"/>
  <c r="C31" i="17"/>
  <c r="C16" i="17"/>
  <c r="C35" i="17"/>
  <c r="C37" i="17"/>
  <c r="C27" i="17"/>
  <c r="C46" i="17" s="1"/>
  <c r="C41" i="17"/>
  <c r="C29" i="17"/>
  <c r="C42" i="17"/>
  <c r="C20" i="17"/>
  <c r="C18" i="17"/>
  <c r="C44" i="17"/>
  <c r="C34" i="17"/>
  <c r="C38" i="17"/>
  <c r="C36" i="17"/>
  <c r="C30" i="17"/>
  <c r="B24" i="17"/>
  <c r="O66" i="15"/>
  <c r="Q68" i="15"/>
  <c r="AG60" i="15"/>
  <c r="AA52" i="15"/>
  <c r="AC67" i="15"/>
  <c r="Q61" i="15"/>
  <c r="O56" i="15"/>
  <c r="K64" i="15"/>
  <c r="S62" i="15"/>
  <c r="E56" i="15"/>
  <c r="O67" i="15"/>
  <c r="K41" i="15"/>
  <c r="K50" i="15"/>
  <c r="AA32" i="15"/>
  <c r="C37" i="15"/>
  <c r="AI22" i="15"/>
  <c r="AC22" i="15"/>
  <c r="AI21" i="15"/>
  <c r="AI20" i="15"/>
  <c r="AA21" i="15"/>
  <c r="O12" i="15"/>
  <c r="Q32" i="15"/>
  <c r="S67" i="15"/>
  <c r="S66" i="15"/>
  <c r="E68" i="15"/>
  <c r="E64" i="15"/>
  <c r="E52" i="15"/>
  <c r="K40" i="15"/>
  <c r="W60" i="15"/>
  <c r="S63" i="15"/>
  <c r="AC58" i="15"/>
  <c r="AK59" i="15"/>
  <c r="AG67" i="15"/>
  <c r="AA47" i="15"/>
  <c r="AE64" i="15"/>
  <c r="AC59" i="15"/>
  <c r="AA67" i="15"/>
  <c r="C63" i="15"/>
  <c r="AI60" i="15"/>
  <c r="S65" i="15"/>
  <c r="S57" i="15"/>
  <c r="K58" i="15"/>
  <c r="AG62" i="15"/>
  <c r="O62" i="15"/>
  <c r="E47" i="15"/>
  <c r="E50" i="15"/>
  <c r="AC29" i="15"/>
  <c r="U22" i="15"/>
  <c r="AI18" i="15"/>
  <c r="AK17" i="15"/>
  <c r="S30" i="15"/>
  <c r="G12" i="15"/>
  <c r="K42" i="15"/>
  <c r="S59" i="15"/>
  <c r="AG56" i="15"/>
  <c r="S61" i="15"/>
  <c r="AC32" i="15"/>
  <c r="AG61" i="15"/>
  <c r="Q58" i="15"/>
  <c r="C31" i="15"/>
  <c r="U52" i="15"/>
  <c r="C66" i="15"/>
  <c r="I57" i="15"/>
  <c r="I62" i="15"/>
  <c r="Y61" i="15"/>
  <c r="AI47" i="15"/>
  <c r="S45" i="15"/>
  <c r="S50" i="15"/>
  <c r="I65" i="15"/>
  <c r="AE61" i="15"/>
  <c r="W57" i="15"/>
  <c r="I67" i="15"/>
  <c r="W62" i="15"/>
  <c r="U62" i="15"/>
  <c r="M58" i="15"/>
  <c r="Q65" i="15"/>
  <c r="O60" i="15"/>
  <c r="M60" i="15"/>
  <c r="AG59" i="15"/>
  <c r="E58" i="15"/>
  <c r="AG50" i="15"/>
  <c r="C51" i="15"/>
  <c r="U44" i="15"/>
  <c r="E48" i="15"/>
  <c r="C45" i="15"/>
  <c r="G37" i="15"/>
  <c r="E38" i="15"/>
  <c r="O36" i="15"/>
  <c r="O53" i="15" s="1"/>
  <c r="E36" i="15"/>
  <c r="E53" i="15" s="1"/>
  <c r="AI42" i="15"/>
  <c r="AC16" i="15"/>
  <c r="C50" i="15"/>
  <c r="S18" i="15"/>
  <c r="AC23" i="15"/>
  <c r="AG11" i="15"/>
  <c r="AG10" i="15"/>
  <c r="AC21" i="15"/>
  <c r="W11" i="15"/>
  <c r="K39" i="15"/>
  <c r="W68" i="15"/>
  <c r="U60" i="15"/>
  <c r="AK65" i="15"/>
  <c r="S60" i="15"/>
  <c r="AA61" i="15"/>
  <c r="C57" i="15"/>
  <c r="W64" i="15"/>
  <c r="AA58" i="15"/>
  <c r="O65" i="15"/>
  <c r="Y58" i="15"/>
  <c r="Q67" i="15"/>
  <c r="AK48" i="15"/>
  <c r="S47" i="15"/>
  <c r="C43" i="15"/>
  <c r="AI51" i="15"/>
  <c r="S46" i="15"/>
  <c r="G48" i="15"/>
  <c r="C48" i="15"/>
  <c r="C38" i="15"/>
  <c r="AD26" i="15"/>
  <c r="AD71" i="15" s="1"/>
  <c r="AK21" i="15"/>
  <c r="Y9" i="15"/>
  <c r="S21" i="15"/>
  <c r="S10" i="15"/>
  <c r="W32" i="15"/>
  <c r="AE21" i="15"/>
  <c r="AK19" i="15"/>
  <c r="AC20" i="15"/>
  <c r="S23" i="15"/>
  <c r="I32" i="15"/>
  <c r="G32" i="15"/>
  <c r="U65" i="15"/>
  <c r="M65" i="15"/>
  <c r="AA65" i="15"/>
  <c r="S16" i="15"/>
  <c r="S22" i="15"/>
  <c r="S42" i="15"/>
  <c r="S36" i="15"/>
  <c r="S53" i="15" s="1"/>
  <c r="U63" i="15"/>
  <c r="U68" i="15"/>
  <c r="I59" i="15"/>
  <c r="Y56" i="15"/>
  <c r="I58" i="15"/>
  <c r="S49" i="15"/>
  <c r="S48" i="15"/>
  <c r="S58" i="15"/>
  <c r="M64" i="15"/>
  <c r="AA59" i="15"/>
  <c r="AA64" i="15"/>
  <c r="U57" i="15"/>
  <c r="Q60" i="15"/>
  <c r="O68" i="15"/>
  <c r="M63" i="15"/>
  <c r="AA63" i="15"/>
  <c r="AK56" i="15"/>
  <c r="S64" i="15"/>
  <c r="O45" i="15"/>
  <c r="AI43" i="15"/>
  <c r="E44" i="15"/>
  <c r="W63" i="15"/>
  <c r="G36" i="15"/>
  <c r="G53" i="15" s="1"/>
  <c r="G44" i="15"/>
  <c r="S44" i="15"/>
  <c r="AI41" i="15"/>
  <c r="G45" i="15"/>
  <c r="W75" i="15"/>
  <c r="AC19" i="15"/>
  <c r="C30" i="15"/>
  <c r="S20" i="15"/>
  <c r="S51" i="15"/>
  <c r="AI52" i="15"/>
  <c r="AE18" i="15"/>
  <c r="G41" i="15"/>
  <c r="S41" i="15"/>
  <c r="W36" i="15"/>
  <c r="W53" i="15" s="1"/>
  <c r="S52" i="15"/>
  <c r="S37" i="15"/>
  <c r="AI11" i="15"/>
  <c r="AE19" i="15"/>
  <c r="Y8" i="15"/>
  <c r="S19" i="15"/>
  <c r="AA66" i="15"/>
  <c r="AK61" i="15"/>
  <c r="I68" i="15"/>
  <c r="Y67" i="15"/>
  <c r="AA56" i="15"/>
  <c r="W61" i="15"/>
  <c r="AA60" i="15"/>
  <c r="G40" i="15"/>
  <c r="S39" i="15"/>
  <c r="S38" i="15"/>
  <c r="G38" i="15"/>
  <c r="AC66" i="15"/>
  <c r="AI59" i="15"/>
  <c r="Y63" i="15"/>
  <c r="AI56" i="15"/>
  <c r="Y65" i="15"/>
  <c r="K62" i="15"/>
  <c r="AI58" i="15"/>
  <c r="Y62" i="15"/>
  <c r="K59" i="15"/>
  <c r="M56" i="15"/>
  <c r="AE66" i="15"/>
  <c r="Q63" i="15"/>
  <c r="C60" i="15"/>
  <c r="M66" i="15"/>
  <c r="AK62" i="15"/>
  <c r="I56" i="15"/>
  <c r="K66" i="15"/>
  <c r="AI62" i="15"/>
  <c r="U59" i="15"/>
  <c r="Y66" i="15"/>
  <c r="K63" i="15"/>
  <c r="U56" i="15"/>
  <c r="I63" i="15"/>
  <c r="AK58" i="15"/>
  <c r="I60" i="15"/>
  <c r="Q42" i="15"/>
  <c r="I46" i="15"/>
  <c r="K65" i="15"/>
  <c r="Y46" i="15"/>
  <c r="W44" i="15"/>
  <c r="AA49" i="15"/>
  <c r="AA48" i="15"/>
  <c r="AA42" i="15"/>
  <c r="AA45" i="15"/>
  <c r="AA50" i="15"/>
  <c r="AA36" i="15"/>
  <c r="AA53" i="15" s="1"/>
  <c r="AA38" i="15"/>
  <c r="AI50" i="15"/>
  <c r="AI49" i="15"/>
  <c r="AI46" i="15"/>
  <c r="AI44" i="15"/>
  <c r="AI39" i="15"/>
  <c r="U48" i="15"/>
  <c r="O51" i="15"/>
  <c r="O50" i="15"/>
  <c r="O44" i="15"/>
  <c r="O47" i="15"/>
  <c r="O42" i="15"/>
  <c r="O38" i="15"/>
  <c r="O40" i="15"/>
  <c r="O52" i="15"/>
  <c r="AK75" i="15"/>
  <c r="AJ26" i="15"/>
  <c r="U42" i="15"/>
  <c r="E45" i="15"/>
  <c r="E51" i="15"/>
  <c r="E49" i="15"/>
  <c r="E43" i="15"/>
  <c r="E46" i="15"/>
  <c r="E41" i="15"/>
  <c r="E39" i="15"/>
  <c r="C19" i="15"/>
  <c r="AK66" i="15"/>
  <c r="Y40" i="15"/>
  <c r="O48" i="15"/>
  <c r="W41" i="15"/>
  <c r="C53" i="15"/>
  <c r="C52" i="15"/>
  <c r="C46" i="15"/>
  <c r="C44" i="15"/>
  <c r="C49" i="15"/>
  <c r="C40" i="15"/>
  <c r="C36" i="15"/>
  <c r="E21" i="15"/>
  <c r="E11" i="15"/>
  <c r="AK31" i="15"/>
  <c r="Y10" i="15"/>
  <c r="W40" i="15"/>
  <c r="Y39" i="15"/>
  <c r="AG22" i="15"/>
  <c r="AC12" i="15"/>
  <c r="I9" i="15"/>
  <c r="U9" i="15"/>
  <c r="O31" i="15"/>
  <c r="G16" i="15"/>
  <c r="G24" i="15" s="1"/>
  <c r="Y12" i="15"/>
  <c r="AK39" i="15"/>
  <c r="I22" i="15"/>
  <c r="Y18" i="15"/>
  <c r="E12" i="15"/>
  <c r="C12" i="15"/>
  <c r="O29" i="15"/>
  <c r="AE20" i="15"/>
  <c r="K10" i="15"/>
  <c r="I17" i="15"/>
  <c r="G17" i="15"/>
  <c r="AE63" i="15"/>
  <c r="C67" i="15"/>
  <c r="K60" i="15"/>
  <c r="AK68" i="15"/>
  <c r="Y59" i="15"/>
  <c r="AI65" i="15"/>
  <c r="G59" i="15"/>
  <c r="E59" i="15"/>
  <c r="G56" i="15"/>
  <c r="I66" i="15"/>
  <c r="C59" i="15"/>
  <c r="G66" i="15"/>
  <c r="AE62" i="15"/>
  <c r="Q59" i="15"/>
  <c r="U58" i="15"/>
  <c r="Y68" i="15"/>
  <c r="Y50" i="15"/>
  <c r="AI61" i="15"/>
  <c r="AK44" i="15"/>
  <c r="O30" i="15"/>
  <c r="I44" i="15"/>
  <c r="Q36" i="15"/>
  <c r="Q53" i="15" s="1"/>
  <c r="Q51" i="15"/>
  <c r="AG30" i="15"/>
  <c r="AG32" i="15"/>
  <c r="AM13" i="15"/>
  <c r="AN8" i="15" s="1"/>
  <c r="AC75" i="15"/>
  <c r="AB26" i="15"/>
  <c r="U50" i="15"/>
  <c r="U66" i="15"/>
  <c r="AG48" i="15"/>
  <c r="AK38" i="15"/>
  <c r="AM33" i="15"/>
  <c r="AN30" i="15" s="1"/>
  <c r="C20" i="15"/>
  <c r="C10" i="15"/>
  <c r="AG31" i="15"/>
  <c r="AA39" i="15"/>
  <c r="C22" i="15"/>
  <c r="V26" i="15"/>
  <c r="I39" i="15"/>
  <c r="Q22" i="15"/>
  <c r="AG18" i="15"/>
  <c r="M12" i="15"/>
  <c r="AC8" i="15"/>
  <c r="Q21" i="15"/>
  <c r="I8" i="15"/>
  <c r="AE22" i="15"/>
  <c r="AA12" i="15"/>
  <c r="K8" i="15"/>
  <c r="M11" i="15"/>
  <c r="U39" i="15"/>
  <c r="Q10" i="15"/>
  <c r="AC30" i="15"/>
  <c r="I18" i="15"/>
  <c r="E8" i="15"/>
  <c r="Y17" i="15"/>
  <c r="AA40" i="15"/>
  <c r="O20" i="15"/>
  <c r="AE68" i="15"/>
  <c r="AE65" i="15"/>
  <c r="AC65" i="15"/>
  <c r="AK46" i="15"/>
  <c r="AK51" i="15"/>
  <c r="AK42" i="15"/>
  <c r="AK43" i="15"/>
  <c r="AK49" i="15"/>
  <c r="AK36" i="15"/>
  <c r="AK53" i="15" s="1"/>
  <c r="Q43" i="15"/>
  <c r="Q49" i="15"/>
  <c r="Q47" i="15"/>
  <c r="Q52" i="15"/>
  <c r="Q44" i="15"/>
  <c r="Q39" i="15"/>
  <c r="Q37" i="15"/>
  <c r="Y44" i="15"/>
  <c r="Y43" i="15"/>
  <c r="Y48" i="15"/>
  <c r="Y52" i="15"/>
  <c r="Y37" i="15"/>
  <c r="Y45" i="15"/>
  <c r="Y51" i="15"/>
  <c r="Y38" i="15"/>
  <c r="AG51" i="15"/>
  <c r="AG45" i="15"/>
  <c r="AG44" i="15"/>
  <c r="AG49" i="15"/>
  <c r="AG47" i="15"/>
  <c r="AG38" i="15"/>
  <c r="AG39" i="15"/>
  <c r="M31" i="15"/>
  <c r="M32" i="15"/>
  <c r="U75" i="15"/>
  <c r="T26" i="15"/>
  <c r="E66" i="15"/>
  <c r="Q48" i="15"/>
  <c r="W47" i="15"/>
  <c r="Y31" i="15"/>
  <c r="E17" i="15"/>
  <c r="AG23" i="15"/>
  <c r="AK37" i="15"/>
  <c r="W21" i="15"/>
  <c r="C18" i="15"/>
  <c r="Q18" i="15"/>
  <c r="E20" i="15"/>
  <c r="O17" i="15"/>
  <c r="O22" i="15"/>
  <c r="K12" i="15"/>
  <c r="Y23" i="15"/>
  <c r="AK9" i="15"/>
  <c r="M30" i="15"/>
  <c r="I11" i="15"/>
  <c r="W18" i="15"/>
  <c r="AA10" i="15"/>
  <c r="AK11" i="15"/>
  <c r="AI38" i="15"/>
  <c r="S8" i="15"/>
  <c r="Q12" i="15"/>
  <c r="AC62" i="15"/>
  <c r="I50" i="15"/>
  <c r="I52" i="15"/>
  <c r="M75" i="15"/>
  <c r="L26" i="15"/>
  <c r="I47" i="15"/>
  <c r="AK29" i="15"/>
  <c r="Q23" i="15"/>
  <c r="AA9" i="15"/>
  <c r="U37" i="15"/>
  <c r="G21" i="15"/>
  <c r="W17" i="15"/>
  <c r="O18" i="15"/>
  <c r="I23" i="15"/>
  <c r="G19" i="15"/>
  <c r="AM24" i="15"/>
  <c r="AN22" i="15" s="1"/>
  <c r="AG29" i="15"/>
  <c r="AG20" i="15"/>
  <c r="AC10" i="15"/>
  <c r="G18" i="15"/>
  <c r="I37" i="15"/>
  <c r="U11" i="15"/>
  <c r="G58" i="15"/>
  <c r="AE59" i="15"/>
  <c r="AK63" i="15"/>
  <c r="E65" i="15"/>
  <c r="AC61" i="15"/>
  <c r="O58" i="15"/>
  <c r="Y64" i="15"/>
  <c r="K61" i="15"/>
  <c r="AI57" i="15"/>
  <c r="AK67" i="15"/>
  <c r="I61" i="15"/>
  <c r="M68" i="15"/>
  <c r="AK64" i="15"/>
  <c r="G61" i="15"/>
  <c r="AE57" i="15"/>
  <c r="AA68" i="15"/>
  <c r="AI64" i="15"/>
  <c r="U61" i="15"/>
  <c r="AC57" i="15"/>
  <c r="AG52" i="15"/>
  <c r="Q50" i="15"/>
  <c r="O59" i="15"/>
  <c r="W45" i="15"/>
  <c r="C61" i="15"/>
  <c r="M62" i="15"/>
  <c r="Q64" i="15"/>
  <c r="Q46" i="15"/>
  <c r="Q56" i="15"/>
  <c r="I40" i="15"/>
  <c r="E75" i="15"/>
  <c r="D26" i="15"/>
  <c r="AI48" i="15"/>
  <c r="AI75" i="15"/>
  <c r="AH26" i="15"/>
  <c r="AM53" i="15"/>
  <c r="AN51" i="15" s="1"/>
  <c r="AG75" i="15"/>
  <c r="AF26" i="15"/>
  <c r="AA46" i="15"/>
  <c r="O39" i="15"/>
  <c r="AK41" i="15"/>
  <c r="K11" i="15"/>
  <c r="E37" i="15"/>
  <c r="AG41" i="15"/>
  <c r="AK30" i="15"/>
  <c r="AK10" i="15"/>
  <c r="Q17" i="15"/>
  <c r="O41" i="15"/>
  <c r="W29" i="15"/>
  <c r="AG21" i="15"/>
  <c r="W19" i="15"/>
  <c r="C39" i="15"/>
  <c r="Q20" i="15"/>
  <c r="AG16" i="15"/>
  <c r="M10" i="15"/>
  <c r="AI8" i="15"/>
  <c r="W22" i="15"/>
  <c r="Y21" i="15"/>
  <c r="I10" i="15"/>
  <c r="N26" i="15"/>
  <c r="G62" i="15"/>
  <c r="AE58" i="15"/>
  <c r="AC68" i="15"/>
  <c r="C56" i="15"/>
  <c r="AK60" i="15"/>
  <c r="AI66" i="15"/>
  <c r="G60" i="15"/>
  <c r="AE56" i="15"/>
  <c r="K67" i="15"/>
  <c r="AI63" i="15"/>
  <c r="G57" i="15"/>
  <c r="C68" i="15"/>
  <c r="M61" i="15"/>
  <c r="U67" i="15"/>
  <c r="G64" i="15"/>
  <c r="AE60" i="15"/>
  <c r="K68" i="15"/>
  <c r="AK52" i="15"/>
  <c r="Y42" i="15"/>
  <c r="AK50" i="15"/>
  <c r="AG46" i="15"/>
  <c r="C9" i="15"/>
  <c r="Y47" i="15"/>
  <c r="S75" i="15"/>
  <c r="R26" i="15"/>
  <c r="O46" i="15"/>
  <c r="Y75" i="15"/>
  <c r="X26" i="15"/>
  <c r="AI45" i="15"/>
  <c r="AA37" i="15"/>
  <c r="Q38" i="15"/>
  <c r="I21" i="15"/>
  <c r="F26" i="15"/>
  <c r="C11" i="15"/>
  <c r="Q41" i="15"/>
  <c r="Y20" i="15"/>
  <c r="U10" i="15"/>
  <c r="O37" i="15"/>
  <c r="E16" i="15"/>
  <c r="AI40" i="15"/>
  <c r="C21" i="15"/>
  <c r="AI10" i="15"/>
  <c r="AE17" i="15"/>
  <c r="Y41" i="15"/>
  <c r="Q16" i="15"/>
  <c r="AG9" i="15"/>
  <c r="G22" i="15"/>
  <c r="AE16" i="15"/>
  <c r="AC9" i="15"/>
  <c r="AM69" i="15"/>
  <c r="C64" i="15"/>
  <c r="I49" i="15"/>
  <c r="I48" i="15"/>
  <c r="I42" i="15"/>
  <c r="I51" i="15"/>
  <c r="I45" i="15"/>
  <c r="I43" i="15"/>
  <c r="I38" i="15"/>
  <c r="Y29" i="15"/>
  <c r="Y30" i="15"/>
  <c r="AG36" i="15"/>
  <c r="AG53" i="15" s="1"/>
  <c r="M29" i="15"/>
  <c r="K57" i="15"/>
  <c r="W52" i="15"/>
  <c r="W51" i="15"/>
  <c r="W43" i="15"/>
  <c r="W42" i="15"/>
  <c r="W48" i="15"/>
  <c r="W46" i="15"/>
  <c r="AA75" i="15"/>
  <c r="Z26" i="15"/>
  <c r="K75" i="15"/>
  <c r="J26" i="15"/>
  <c r="AK45" i="15"/>
  <c r="U47" i="15"/>
  <c r="U46" i="15"/>
  <c r="U51" i="15"/>
  <c r="U49" i="15"/>
  <c r="U43" i="15"/>
  <c r="U40" i="15"/>
  <c r="U36" i="15"/>
  <c r="U53" i="15" s="1"/>
  <c r="U41" i="15"/>
  <c r="Q75" i="15"/>
  <c r="P26" i="15"/>
  <c r="U45" i="15"/>
  <c r="AG19" i="15"/>
  <c r="AK40" i="15"/>
  <c r="I20" i="15"/>
  <c r="Y16" i="15"/>
  <c r="W20" i="15"/>
  <c r="Y19" i="15"/>
  <c r="AA11" i="15"/>
  <c r="I19" i="15"/>
  <c r="I41" i="15"/>
  <c r="E23" i="15"/>
  <c r="AK12" i="15"/>
  <c r="Q9" i="15"/>
  <c r="O16" i="15"/>
  <c r="E22" i="15"/>
  <c r="S12" i="15"/>
  <c r="M9" i="15"/>
  <c r="Q45" i="15"/>
  <c r="C75" i="15"/>
  <c r="B26" i="15"/>
  <c r="Y49" i="15"/>
  <c r="I75" i="15"/>
  <c r="H26" i="15"/>
  <c r="W37" i="15"/>
  <c r="E18" i="15"/>
  <c r="O19" i="15"/>
  <c r="AG37" i="15"/>
  <c r="G20" i="15"/>
  <c r="W16" i="15"/>
  <c r="O21" i="15"/>
  <c r="U12" i="15"/>
  <c r="AK8" i="15"/>
  <c r="AI12" i="15"/>
  <c r="Q8" i="15"/>
  <c r="S9" i="15"/>
  <c r="AM75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2" i="3"/>
  <c r="AJ31" i="3"/>
  <c r="AJ30" i="3"/>
  <c r="AJ29" i="3"/>
  <c r="AJ23" i="3"/>
  <c r="AJ22" i="3"/>
  <c r="AJ21" i="3"/>
  <c r="AJ20" i="3"/>
  <c r="AJ19" i="3"/>
  <c r="AJ18" i="3"/>
  <c r="AJ17" i="3"/>
  <c r="AJ16" i="3"/>
  <c r="AJ12" i="3"/>
  <c r="AJ11" i="3"/>
  <c r="AJ10" i="3"/>
  <c r="AJ9" i="3"/>
  <c r="AJ8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2" i="3"/>
  <c r="AH31" i="3"/>
  <c r="AH30" i="3"/>
  <c r="AH29" i="3"/>
  <c r="AH23" i="3"/>
  <c r="AH22" i="3"/>
  <c r="AH21" i="3"/>
  <c r="AH20" i="3"/>
  <c r="AH19" i="3"/>
  <c r="AH18" i="3"/>
  <c r="AH17" i="3"/>
  <c r="AH16" i="3"/>
  <c r="AH12" i="3"/>
  <c r="AH11" i="3"/>
  <c r="AH10" i="3"/>
  <c r="AH9" i="3"/>
  <c r="AH8" i="3"/>
  <c r="B7" i="9"/>
  <c r="C10" i="18" l="1"/>
  <c r="E10" i="18"/>
  <c r="AN69" i="15"/>
  <c r="H9" i="18"/>
  <c r="H8" i="18"/>
  <c r="AE26" i="15"/>
  <c r="I13" i="15"/>
  <c r="S13" i="15"/>
  <c r="AG13" i="15"/>
  <c r="AA13" i="15"/>
  <c r="Q13" i="15"/>
  <c r="C13" i="15"/>
  <c r="K13" i="15"/>
  <c r="AN44" i="15"/>
  <c r="AN39" i="15"/>
  <c r="H26" i="18"/>
  <c r="H44" i="18"/>
  <c r="AN31" i="15"/>
  <c r="AN66" i="15"/>
  <c r="G16" i="18"/>
  <c r="F26" i="16" s="1"/>
  <c r="H52" i="18"/>
  <c r="H30" i="18"/>
  <c r="G17" i="18"/>
  <c r="F27" i="16" s="1"/>
  <c r="H41" i="18"/>
  <c r="H31" i="18"/>
  <c r="H27" i="18"/>
  <c r="H32" i="18"/>
  <c r="H35" i="18"/>
  <c r="H29" i="18"/>
  <c r="H33" i="18"/>
  <c r="H36" i="18"/>
  <c r="H40" i="18"/>
  <c r="H39" i="18"/>
  <c r="H37" i="18"/>
  <c r="H28" i="18"/>
  <c r="B60" i="18"/>
  <c r="C23" i="18"/>
  <c r="H48" i="18"/>
  <c r="H38" i="18"/>
  <c r="H57" i="18"/>
  <c r="H54" i="18"/>
  <c r="H51" i="18"/>
  <c r="H55" i="18"/>
  <c r="H45" i="18"/>
  <c r="H49" i="18"/>
  <c r="H47" i="18"/>
  <c r="H46" i="18"/>
  <c r="H50" i="18"/>
  <c r="H53" i="18"/>
  <c r="D21" i="18"/>
  <c r="E17" i="18" s="1"/>
  <c r="C24" i="17"/>
  <c r="B64" i="17"/>
  <c r="AN56" i="15"/>
  <c r="E13" i="15"/>
  <c r="U13" i="15"/>
  <c r="AN47" i="15"/>
  <c r="Y13" i="15"/>
  <c r="AN36" i="15"/>
  <c r="M13" i="15"/>
  <c r="AN63" i="15"/>
  <c r="R71" i="15"/>
  <c r="S26" i="15"/>
  <c r="H71" i="15"/>
  <c r="I26" i="15"/>
  <c r="J71" i="15"/>
  <c r="K26" i="15"/>
  <c r="AN58" i="15"/>
  <c r="AN48" i="15"/>
  <c r="AN18" i="15"/>
  <c r="AN50" i="15"/>
  <c r="AF71" i="15"/>
  <c r="AG26" i="15"/>
  <c r="AN41" i="15"/>
  <c r="AN52" i="15"/>
  <c r="AN45" i="15"/>
  <c r="AN65" i="15"/>
  <c r="N71" i="15"/>
  <c r="O26" i="15"/>
  <c r="D71" i="15"/>
  <c r="E26" i="15"/>
  <c r="AK13" i="15"/>
  <c r="Z71" i="15"/>
  <c r="AA26" i="15"/>
  <c r="X71" i="15"/>
  <c r="Y26" i="15"/>
  <c r="AN68" i="15"/>
  <c r="AN61" i="15"/>
  <c r="AN12" i="15"/>
  <c r="AJ71" i="15"/>
  <c r="AK26" i="15"/>
  <c r="B71" i="15"/>
  <c r="C26" i="15"/>
  <c r="AM26" i="15"/>
  <c r="AN26" i="15" s="1"/>
  <c r="AB71" i="15"/>
  <c r="AC26" i="15"/>
  <c r="AN59" i="15"/>
  <c r="P71" i="15"/>
  <c r="Q26" i="15"/>
  <c r="AN53" i="15"/>
  <c r="AN40" i="15"/>
  <c r="AN46" i="15"/>
  <c r="AN37" i="15"/>
  <c r="AN42" i="15"/>
  <c r="AN64" i="15"/>
  <c r="F71" i="15"/>
  <c r="G26" i="15"/>
  <c r="AI13" i="15"/>
  <c r="AN43" i="15"/>
  <c r="L71" i="15"/>
  <c r="M26" i="15"/>
  <c r="AN57" i="15"/>
  <c r="AC13" i="15"/>
  <c r="AH71" i="15"/>
  <c r="AI26" i="15"/>
  <c r="AN38" i="15"/>
  <c r="AN33" i="15"/>
  <c r="AN32" i="15"/>
  <c r="AN67" i="15"/>
  <c r="AN24" i="15"/>
  <c r="AN17" i="15"/>
  <c r="AN19" i="15"/>
  <c r="AN16" i="15"/>
  <c r="AN21" i="15"/>
  <c r="AN23" i="15"/>
  <c r="AN20" i="15"/>
  <c r="T71" i="15"/>
  <c r="U26" i="15"/>
  <c r="AN29" i="15"/>
  <c r="AN49" i="15"/>
  <c r="AN60" i="15"/>
  <c r="V71" i="15"/>
  <c r="W26" i="15"/>
  <c r="AN9" i="15"/>
  <c r="AN10" i="15"/>
  <c r="AE13" i="15"/>
  <c r="G13" i="15"/>
  <c r="O13" i="15"/>
  <c r="AN11" i="15"/>
  <c r="W13" i="15"/>
  <c r="AN62" i="15"/>
  <c r="AJ13" i="3"/>
  <c r="AK10" i="3" s="1"/>
  <c r="AJ53" i="3"/>
  <c r="AK39" i="3" s="1"/>
  <c r="AJ69" i="3"/>
  <c r="AK59" i="3" s="1"/>
  <c r="AJ33" i="3"/>
  <c r="AK29" i="3" s="1"/>
  <c r="AJ24" i="3"/>
  <c r="AK22" i="3" s="1"/>
  <c r="AH53" i="3"/>
  <c r="AI42" i="3" s="1"/>
  <c r="AH69" i="3"/>
  <c r="AI59" i="3" s="1"/>
  <c r="AH33" i="3"/>
  <c r="AI30" i="3" s="1"/>
  <c r="AH13" i="3"/>
  <c r="AI11" i="3" s="1"/>
  <c r="AH24" i="3"/>
  <c r="AI21" i="3" s="1"/>
  <c r="B17" i="8"/>
  <c r="H10" i="18" l="1"/>
  <c r="AN13" i="15"/>
  <c r="G21" i="18"/>
  <c r="G23" i="18" s="1"/>
  <c r="H23" i="18" s="1"/>
  <c r="E21" i="18"/>
  <c r="E13" i="18"/>
  <c r="E19" i="18"/>
  <c r="E15" i="18"/>
  <c r="E14" i="18"/>
  <c r="E18" i="18"/>
  <c r="E20" i="18"/>
  <c r="D23" i="18"/>
  <c r="E16" i="18"/>
  <c r="C64" i="17"/>
  <c r="AM71" i="15"/>
  <c r="AN71" i="15" s="1"/>
  <c r="C71" i="15"/>
  <c r="AK11" i="3"/>
  <c r="AK8" i="3"/>
  <c r="AK12" i="3"/>
  <c r="AK36" i="3"/>
  <c r="AK53" i="3" s="1"/>
  <c r="AK64" i="3"/>
  <c r="AK51" i="3"/>
  <c r="AK40" i="3"/>
  <c r="AK66" i="3"/>
  <c r="AK75" i="3"/>
  <c r="AK57" i="3"/>
  <c r="AK52" i="3"/>
  <c r="AK49" i="3"/>
  <c r="AK42" i="3"/>
  <c r="AK58" i="3"/>
  <c r="AK38" i="3"/>
  <c r="AK68" i="3"/>
  <c r="AK50" i="3"/>
  <c r="AK48" i="3"/>
  <c r="AK63" i="3"/>
  <c r="AK65" i="3"/>
  <c r="AK44" i="3"/>
  <c r="AK37" i="3"/>
  <c r="AK43" i="3"/>
  <c r="AK30" i="3"/>
  <c r="AK23" i="3"/>
  <c r="AK9" i="3"/>
  <c r="AK61" i="3"/>
  <c r="AK32" i="3"/>
  <c r="AK46" i="3"/>
  <c r="AK41" i="3"/>
  <c r="AK47" i="3"/>
  <c r="AK45" i="3"/>
  <c r="AK56" i="3"/>
  <c r="AK31" i="3"/>
  <c r="AK67" i="3"/>
  <c r="AK62" i="3"/>
  <c r="AJ26" i="3"/>
  <c r="AK26" i="3" s="1"/>
  <c r="AK21" i="3"/>
  <c r="AK60" i="3"/>
  <c r="AK18" i="3"/>
  <c r="AK19" i="3"/>
  <c r="AK20" i="3"/>
  <c r="AK16" i="3"/>
  <c r="AK17" i="3"/>
  <c r="AI66" i="3"/>
  <c r="AI58" i="3"/>
  <c r="AI63" i="3"/>
  <c r="AI65" i="3"/>
  <c r="AI45" i="3"/>
  <c r="AI40" i="3"/>
  <c r="AI47" i="3"/>
  <c r="AI37" i="3"/>
  <c r="AI48" i="3"/>
  <c r="AI51" i="3"/>
  <c r="AI49" i="3"/>
  <c r="AI31" i="3"/>
  <c r="AI41" i="3"/>
  <c r="AI20" i="3"/>
  <c r="AI10" i="3"/>
  <c r="AI9" i="3"/>
  <c r="AI32" i="3"/>
  <c r="AI29" i="3"/>
  <c r="AI44" i="3"/>
  <c r="AI62" i="3"/>
  <c r="AI36" i="3"/>
  <c r="AI38" i="3"/>
  <c r="AI39" i="3"/>
  <c r="AI57" i="3"/>
  <c r="AI67" i="3"/>
  <c r="AI50" i="3"/>
  <c r="AI23" i="3"/>
  <c r="AI52" i="3"/>
  <c r="AI68" i="3"/>
  <c r="AI12" i="3"/>
  <c r="AI46" i="3"/>
  <c r="AI60" i="3"/>
  <c r="AI56" i="3"/>
  <c r="AI64" i="3"/>
  <c r="AI43" i="3"/>
  <c r="AI61" i="3"/>
  <c r="AI19" i="3"/>
  <c r="AI22" i="3"/>
  <c r="AI8" i="3"/>
  <c r="AI18" i="3"/>
  <c r="AI75" i="3"/>
  <c r="AH26" i="3"/>
  <c r="AI17" i="3"/>
  <c r="AI16" i="3"/>
  <c r="B21" i="3"/>
  <c r="H17" i="18" l="1"/>
  <c r="H21" i="18"/>
  <c r="H13" i="18"/>
  <c r="H14" i="18"/>
  <c r="H20" i="18"/>
  <c r="H19" i="18"/>
  <c r="H18" i="18"/>
  <c r="H15" i="18"/>
  <c r="H16" i="18"/>
  <c r="D60" i="18"/>
  <c r="E23" i="18"/>
  <c r="AI53" i="3"/>
  <c r="AJ71" i="3"/>
  <c r="AH71" i="3"/>
  <c r="AI26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2" i="3"/>
  <c r="AF31" i="3"/>
  <c r="AF30" i="3"/>
  <c r="AF29" i="3"/>
  <c r="AF23" i="3"/>
  <c r="AF22" i="3"/>
  <c r="AF21" i="3"/>
  <c r="AF20" i="3"/>
  <c r="AF19" i="3"/>
  <c r="AF18" i="3"/>
  <c r="AF17" i="3"/>
  <c r="AF16" i="3"/>
  <c r="AF12" i="3"/>
  <c r="AF11" i="3"/>
  <c r="AF10" i="3"/>
  <c r="AF9" i="3"/>
  <c r="AF8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2" i="3"/>
  <c r="AD31" i="3"/>
  <c r="AD30" i="3"/>
  <c r="AD29" i="3"/>
  <c r="AD23" i="3"/>
  <c r="AD22" i="3"/>
  <c r="AD21" i="3"/>
  <c r="AD20" i="3"/>
  <c r="AD19" i="3"/>
  <c r="AD18" i="3"/>
  <c r="AD17" i="3"/>
  <c r="AD16" i="3"/>
  <c r="AD12" i="3"/>
  <c r="AD11" i="3"/>
  <c r="AD10" i="3"/>
  <c r="AD9" i="3"/>
  <c r="AD8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2" i="3"/>
  <c r="AB31" i="3"/>
  <c r="AB30" i="3"/>
  <c r="AB29" i="3"/>
  <c r="AB23" i="3"/>
  <c r="AB22" i="3"/>
  <c r="AB21" i="3"/>
  <c r="AB20" i="3"/>
  <c r="AB19" i="3"/>
  <c r="AB18" i="3"/>
  <c r="AB17" i="3"/>
  <c r="AB16" i="3"/>
  <c r="AB12" i="3"/>
  <c r="AB11" i="3"/>
  <c r="AB10" i="3"/>
  <c r="AB9" i="3"/>
  <c r="AB8" i="3"/>
  <c r="G60" i="18" l="1"/>
  <c r="H60" i="18" s="1"/>
  <c r="AF13" i="3"/>
  <c r="AG75" i="3" s="1"/>
  <c r="AF53" i="3"/>
  <c r="AG41" i="3" s="1"/>
  <c r="AF69" i="3"/>
  <c r="AG61" i="3" s="1"/>
  <c r="AF24" i="3"/>
  <c r="AG21" i="3" s="1"/>
  <c r="AF33" i="3"/>
  <c r="AG29" i="3" s="1"/>
  <c r="AD13" i="3"/>
  <c r="AE75" i="3" s="1"/>
  <c r="AD69" i="3"/>
  <c r="AE60" i="3" s="1"/>
  <c r="AD53" i="3"/>
  <c r="AE36" i="3" s="1"/>
  <c r="AD33" i="3"/>
  <c r="AE31" i="3" s="1"/>
  <c r="AD24" i="3"/>
  <c r="AE17" i="3" s="1"/>
  <c r="AB13" i="3"/>
  <c r="AB69" i="3"/>
  <c r="AC61" i="3" s="1"/>
  <c r="AB53" i="3"/>
  <c r="AC39" i="3" s="1"/>
  <c r="AB33" i="3"/>
  <c r="AC32" i="3" s="1"/>
  <c r="AB24" i="3"/>
  <c r="AC18" i="3" s="1"/>
  <c r="B21" i="4"/>
  <c r="B20" i="4"/>
  <c r="B19" i="4"/>
  <c r="B17" i="4"/>
  <c r="B16" i="4"/>
  <c r="B18" i="4"/>
  <c r="B15" i="4"/>
  <c r="AC10" i="3" l="1"/>
  <c r="AC75" i="3"/>
  <c r="AE9" i="3"/>
  <c r="AG9" i="3"/>
  <c r="AG58" i="3"/>
  <c r="AG57" i="3"/>
  <c r="AE56" i="3"/>
  <c r="AE66" i="3"/>
  <c r="AG32" i="3"/>
  <c r="AC65" i="3"/>
  <c r="AC68" i="3"/>
  <c r="AE65" i="3"/>
  <c r="AG62" i="3"/>
  <c r="AC56" i="3"/>
  <c r="AE58" i="3"/>
  <c r="AG66" i="3"/>
  <c r="AC51" i="3"/>
  <c r="AG56" i="3"/>
  <c r="AG59" i="3"/>
  <c r="AE32" i="3"/>
  <c r="AG39" i="3"/>
  <c r="AC8" i="3"/>
  <c r="AG37" i="3"/>
  <c r="AG36" i="3"/>
  <c r="AC11" i="3"/>
  <c r="AC12" i="3"/>
  <c r="AE59" i="3"/>
  <c r="AG67" i="3"/>
  <c r="AG65" i="3"/>
  <c r="AG68" i="3"/>
  <c r="AC64" i="3"/>
  <c r="AC9" i="3"/>
  <c r="AG17" i="3"/>
  <c r="AE29" i="3"/>
  <c r="AG40" i="3"/>
  <c r="AG64" i="3"/>
  <c r="AC29" i="3"/>
  <c r="AC30" i="3"/>
  <c r="AG63" i="3"/>
  <c r="AC48" i="3"/>
  <c r="AE30" i="3"/>
  <c r="AE46" i="3"/>
  <c r="AE41" i="3"/>
  <c r="AC40" i="3"/>
  <c r="AE51" i="3"/>
  <c r="AE38" i="3"/>
  <c r="AC62" i="3"/>
  <c r="AE43" i="3"/>
  <c r="AE37" i="3"/>
  <c r="AG11" i="3"/>
  <c r="AE62" i="3"/>
  <c r="AG10" i="3"/>
  <c r="AE44" i="3"/>
  <c r="AE48" i="3"/>
  <c r="AE49" i="3"/>
  <c r="AE40" i="3"/>
  <c r="AE47" i="3"/>
  <c r="AG8" i="3"/>
  <c r="AE42" i="3"/>
  <c r="AE45" i="3"/>
  <c r="AG12" i="3"/>
  <c r="AG31" i="3"/>
  <c r="AG45" i="3"/>
  <c r="AG42" i="3"/>
  <c r="AG23" i="3"/>
  <c r="AG20" i="3"/>
  <c r="AG50" i="3"/>
  <c r="AG16" i="3"/>
  <c r="AG22" i="3"/>
  <c r="AG51" i="3"/>
  <c r="AG60" i="3"/>
  <c r="AG18" i="3"/>
  <c r="AG30" i="3"/>
  <c r="AG46" i="3"/>
  <c r="AG43" i="3"/>
  <c r="AG49" i="3"/>
  <c r="AG19" i="3"/>
  <c r="AG52" i="3"/>
  <c r="AG44" i="3"/>
  <c r="AG48" i="3"/>
  <c r="AG47" i="3"/>
  <c r="AG38" i="3"/>
  <c r="AF26" i="3"/>
  <c r="AG26" i="3" s="1"/>
  <c r="AE8" i="3"/>
  <c r="AE11" i="3"/>
  <c r="AE67" i="3"/>
  <c r="AE52" i="3"/>
  <c r="AE39" i="3"/>
  <c r="AE64" i="3"/>
  <c r="AE61" i="3"/>
  <c r="AE12" i="3"/>
  <c r="AE50" i="3"/>
  <c r="AE10" i="3"/>
  <c r="AE68" i="3"/>
  <c r="AE57" i="3"/>
  <c r="AE63" i="3"/>
  <c r="AD26" i="3"/>
  <c r="AE23" i="3"/>
  <c r="AE22" i="3"/>
  <c r="AE18" i="3"/>
  <c r="AE21" i="3"/>
  <c r="AE16" i="3"/>
  <c r="AE20" i="3"/>
  <c r="AE19" i="3"/>
  <c r="AC19" i="3"/>
  <c r="AC42" i="3"/>
  <c r="AC17" i="3"/>
  <c r="AC49" i="3"/>
  <c r="AC46" i="3"/>
  <c r="AC43" i="3"/>
  <c r="AC41" i="3"/>
  <c r="AC38" i="3"/>
  <c r="AC52" i="3"/>
  <c r="AC31" i="3"/>
  <c r="AC67" i="3"/>
  <c r="AC47" i="3"/>
  <c r="AC50" i="3"/>
  <c r="AC45" i="3"/>
  <c r="AC37" i="3"/>
  <c r="AC60" i="3"/>
  <c r="AC57" i="3"/>
  <c r="AC66" i="3"/>
  <c r="AC63" i="3"/>
  <c r="AC58" i="3"/>
  <c r="AC36" i="3"/>
  <c r="AC22" i="3"/>
  <c r="AC44" i="3"/>
  <c r="AC59" i="3"/>
  <c r="AB26" i="3"/>
  <c r="AC20" i="3"/>
  <c r="AC16" i="3"/>
  <c r="AC21" i="3"/>
  <c r="AC23" i="3"/>
  <c r="J24" i="11"/>
  <c r="J23" i="11"/>
  <c r="J15" i="11"/>
  <c r="J14" i="11"/>
  <c r="J11" i="11"/>
  <c r="J10" i="11"/>
  <c r="I24" i="11"/>
  <c r="J6" i="11" s="1"/>
  <c r="I23" i="11"/>
  <c r="J5" i="11" s="1"/>
  <c r="I15" i="11"/>
  <c r="I14" i="11"/>
  <c r="I11" i="11"/>
  <c r="I10" i="11"/>
  <c r="H10" i="11"/>
  <c r="H24" i="11"/>
  <c r="I6" i="11" s="1"/>
  <c r="H23" i="11"/>
  <c r="I5" i="11" s="1"/>
  <c r="H15" i="11"/>
  <c r="H14" i="11"/>
  <c r="H11" i="11"/>
  <c r="G24" i="11"/>
  <c r="H6" i="11" s="1"/>
  <c r="G23" i="11"/>
  <c r="H5" i="11" s="1"/>
  <c r="G15" i="11"/>
  <c r="G14" i="11"/>
  <c r="G11" i="11"/>
  <c r="G10" i="11"/>
  <c r="AE53" i="3" l="1"/>
  <c r="AG53" i="3"/>
  <c r="AC53" i="3"/>
  <c r="AF71" i="3"/>
  <c r="AD71" i="3"/>
  <c r="AE26" i="3"/>
  <c r="AB71" i="3"/>
  <c r="AC26" i="3"/>
  <c r="J33" i="11"/>
  <c r="J39" i="11" s="1"/>
  <c r="I33" i="11"/>
  <c r="I42" i="11" s="1"/>
  <c r="H33" i="11"/>
  <c r="H42" i="11" s="1"/>
  <c r="G33" i="11"/>
  <c r="G42" i="11" s="1"/>
  <c r="F33" i="11"/>
  <c r="E33" i="11"/>
  <c r="E42" i="11" s="1"/>
  <c r="D33" i="11"/>
  <c r="D24" i="11"/>
  <c r="D23" i="11"/>
  <c r="D15" i="11"/>
  <c r="D14" i="11"/>
  <c r="D11" i="11"/>
  <c r="D10" i="11"/>
  <c r="F42" i="11" l="1"/>
  <c r="F39" i="11"/>
  <c r="J42" i="11"/>
  <c r="I39" i="11"/>
  <c r="D16" i="11"/>
  <c r="D21" i="11" s="1"/>
  <c r="D25" i="11"/>
  <c r="F16" i="11"/>
  <c r="F21" i="11" s="1"/>
  <c r="G5" i="11"/>
  <c r="G18" i="11" s="1"/>
  <c r="H39" i="11"/>
  <c r="G39" i="11"/>
  <c r="E39" i="11"/>
  <c r="D12" i="11"/>
  <c r="D20" i="11" s="1"/>
  <c r="G6" i="11"/>
  <c r="I19" i="11"/>
  <c r="E5" i="11"/>
  <c r="E18" i="11" s="1"/>
  <c r="E6" i="11"/>
  <c r="E19" i="11" s="1"/>
  <c r="F12" i="11" l="1"/>
  <c r="F20" i="11" s="1"/>
  <c r="H16" i="11"/>
  <c r="H21" i="11" s="1"/>
  <c r="G19" i="11"/>
  <c r="F25" i="11"/>
  <c r="C33" i="11"/>
  <c r="J16" i="11" l="1"/>
  <c r="J21" i="11" s="1"/>
  <c r="J12" i="11"/>
  <c r="J20" i="11" s="1"/>
  <c r="H12" i="11"/>
  <c r="H20" i="11" s="1"/>
  <c r="H25" i="11"/>
  <c r="J25" i="11"/>
  <c r="I18" i="11"/>
  <c r="C23" i="11"/>
  <c r="C15" i="11"/>
  <c r="E15" i="11" s="1"/>
  <c r="D5" i="11" l="1"/>
  <c r="E23" i="11"/>
  <c r="C14" i="11"/>
  <c r="E14" i="11" s="1"/>
  <c r="D18" i="11" l="1"/>
  <c r="D27" i="11"/>
  <c r="E16" i="11"/>
  <c r="E21" i="11" s="1"/>
  <c r="F5" i="11"/>
  <c r="F27" i="11" s="1"/>
  <c r="C11" i="11"/>
  <c r="E11" i="11" s="1"/>
  <c r="C10" i="11"/>
  <c r="E10" i="11" s="1"/>
  <c r="F18" i="11" l="1"/>
  <c r="E28" i="11"/>
  <c r="E36" i="11" s="1"/>
  <c r="G16" i="11"/>
  <c r="G21" i="11" s="1"/>
  <c r="I16" i="11"/>
  <c r="I21" i="11" s="1"/>
  <c r="D35" i="11"/>
  <c r="E27" i="11"/>
  <c r="E12" i="11"/>
  <c r="E20" i="11" s="1"/>
  <c r="C5" i="11"/>
  <c r="C27" i="11" s="1"/>
  <c r="C6" i="11"/>
  <c r="C28" i="11" s="1"/>
  <c r="C36" i="11" s="1"/>
  <c r="G27" i="11" l="1"/>
  <c r="G12" i="11"/>
  <c r="G20" i="11" s="1"/>
  <c r="H18" i="11"/>
  <c r="H27" i="11"/>
  <c r="I28" i="11"/>
  <c r="I36" i="11" s="1"/>
  <c r="G28" i="11"/>
  <c r="G36" i="11" s="1"/>
  <c r="E35" i="11"/>
  <c r="E37" i="11" s="1"/>
  <c r="E29" i="11"/>
  <c r="F35" i="11"/>
  <c r="C35" i="11"/>
  <c r="C37" i="11" s="1"/>
  <c r="C29" i="11"/>
  <c r="C24" i="11"/>
  <c r="I27" i="11" l="1"/>
  <c r="I12" i="11"/>
  <c r="I20" i="11" s="1"/>
  <c r="H35" i="11"/>
  <c r="J18" i="11"/>
  <c r="J27" i="11"/>
  <c r="D6" i="11"/>
  <c r="E24" i="11"/>
  <c r="E25" i="11" s="1"/>
  <c r="G29" i="11"/>
  <c r="G35" i="11"/>
  <c r="G37" i="11" s="1"/>
  <c r="C25" i="11"/>
  <c r="C19" i="11"/>
  <c r="C18" i="11"/>
  <c r="C16" i="11"/>
  <c r="C21" i="11" s="1"/>
  <c r="C12" i="11"/>
  <c r="C20" i="11" s="1"/>
  <c r="C7" i="11"/>
  <c r="J35" i="11" l="1"/>
  <c r="D19" i="11"/>
  <c r="D28" i="11"/>
  <c r="F6" i="11"/>
  <c r="I35" i="11"/>
  <c r="I37" i="11" s="1"/>
  <c r="I29" i="11"/>
  <c r="B39" i="9"/>
  <c r="B40" i="9"/>
  <c r="B41" i="9"/>
  <c r="F19" i="11" l="1"/>
  <c r="F28" i="11"/>
  <c r="G25" i="11"/>
  <c r="D36" i="11"/>
  <c r="D37" i="11" s="1"/>
  <c r="D29" i="11"/>
  <c r="D7" i="11"/>
  <c r="E7" i="11"/>
  <c r="B26" i="9"/>
  <c r="B27" i="9"/>
  <c r="B28" i="9"/>
  <c r="B29" i="9"/>
  <c r="B30" i="9"/>
  <c r="B31" i="9"/>
  <c r="B32" i="9"/>
  <c r="B33" i="9"/>
  <c r="B25" i="9"/>
  <c r="B49" i="9"/>
  <c r="B48" i="9"/>
  <c r="B43" i="9"/>
  <c r="B44" i="9"/>
  <c r="B42" i="9"/>
  <c r="B38" i="9"/>
  <c r="H19" i="11" l="1"/>
  <c r="H28" i="11"/>
  <c r="I25" i="11"/>
  <c r="F36" i="11"/>
  <c r="F37" i="11" s="1"/>
  <c r="F29" i="11"/>
  <c r="F7" i="11"/>
  <c r="B8" i="9"/>
  <c r="B9" i="9"/>
  <c r="B10" i="9"/>
  <c r="B11" i="9"/>
  <c r="B17" i="9"/>
  <c r="B18" i="9"/>
  <c r="J19" i="11" l="1"/>
  <c r="J28" i="11"/>
  <c r="H36" i="11"/>
  <c r="H37" i="11" s="1"/>
  <c r="H29" i="11"/>
  <c r="G7" i="11"/>
  <c r="B16" i="9"/>
  <c r="J36" i="11" l="1"/>
  <c r="J37" i="11" s="1"/>
  <c r="J29" i="11"/>
  <c r="H7" i="11"/>
  <c r="B62" i="9"/>
  <c r="B50" i="9"/>
  <c r="B45" i="9"/>
  <c r="B34" i="9"/>
  <c r="B19" i="9"/>
  <c r="B12" i="9"/>
  <c r="I7" i="11" l="1"/>
  <c r="J7" i="11"/>
  <c r="B21" i="9"/>
  <c r="C27" i="9" s="1"/>
  <c r="B35" i="8"/>
  <c r="B36" i="8"/>
  <c r="B38" i="8"/>
  <c r="B39" i="8"/>
  <c r="B40" i="8"/>
  <c r="B41" i="8"/>
  <c r="B42" i="8"/>
  <c r="B43" i="8"/>
  <c r="B31" i="8"/>
  <c r="B32" i="8"/>
  <c r="B33" i="8"/>
  <c r="B22" i="8"/>
  <c r="B23" i="8"/>
  <c r="B24" i="8"/>
  <c r="B18" i="8"/>
  <c r="B19" i="8"/>
  <c r="B20" i="8"/>
  <c r="B14" i="8"/>
  <c r="B15" i="8"/>
  <c r="B16" i="8"/>
  <c r="B12" i="8"/>
  <c r="B34" i="8"/>
  <c r="B30" i="8"/>
  <c r="B29" i="8"/>
  <c r="B25" i="8"/>
  <c r="B21" i="8"/>
  <c r="B13" i="8"/>
  <c r="B8" i="8"/>
  <c r="B9" i="8"/>
  <c r="B10" i="8"/>
  <c r="B11" i="8"/>
  <c r="B7" i="8"/>
  <c r="C49" i="9" l="1"/>
  <c r="C29" i="9"/>
  <c r="C31" i="9"/>
  <c r="C42" i="9"/>
  <c r="C18" i="9"/>
  <c r="C30" i="9"/>
  <c r="C11" i="9"/>
  <c r="C32" i="9"/>
  <c r="C41" i="9"/>
  <c r="C25" i="9"/>
  <c r="C50" i="9"/>
  <c r="C28" i="9"/>
  <c r="C43" i="9"/>
  <c r="C7" i="9"/>
  <c r="C26" i="9"/>
  <c r="C44" i="9"/>
  <c r="C8" i="9"/>
  <c r="C10" i="9"/>
  <c r="C33" i="9"/>
  <c r="C9" i="9"/>
  <c r="C39" i="9"/>
  <c r="C38" i="9"/>
  <c r="B52" i="9"/>
  <c r="C52" i="9" s="1"/>
  <c r="C17" i="9"/>
  <c r="C40" i="9"/>
  <c r="C48" i="9"/>
  <c r="C16" i="9"/>
  <c r="B26" i="8"/>
  <c r="B44" i="8"/>
  <c r="B100" i="7"/>
  <c r="D100" i="7"/>
  <c r="F100" i="7"/>
  <c r="H100" i="7"/>
  <c r="K94" i="7"/>
  <c r="K95" i="7"/>
  <c r="K96" i="7"/>
  <c r="K97" i="7"/>
  <c r="K98" i="7"/>
  <c r="K99" i="7"/>
  <c r="K93" i="7"/>
  <c r="H87" i="7"/>
  <c r="D87" i="7"/>
  <c r="H40" i="7"/>
  <c r="F40" i="7"/>
  <c r="D40" i="7"/>
  <c r="B46" i="8" l="1"/>
  <c r="K100" i="7"/>
  <c r="C19" i="9"/>
  <c r="C34" i="9"/>
  <c r="C12" i="9"/>
  <c r="C45" i="9"/>
  <c r="C32" i="8" l="1"/>
  <c r="C21" i="9"/>
  <c r="C9" i="8"/>
  <c r="C39" i="8"/>
  <c r="C19" i="8"/>
  <c r="C21" i="8"/>
  <c r="C24" i="8"/>
  <c r="C8" i="8"/>
  <c r="C42" i="8"/>
  <c r="C36" i="8"/>
  <c r="C30" i="8"/>
  <c r="C25" i="8"/>
  <c r="C17" i="8"/>
  <c r="C13" i="8"/>
  <c r="C34" i="8"/>
  <c r="C16" i="8"/>
  <c r="C10" i="8"/>
  <c r="C12" i="8"/>
  <c r="C38" i="8"/>
  <c r="C7" i="8"/>
  <c r="C40" i="8"/>
  <c r="C11" i="8"/>
  <c r="C33" i="8"/>
  <c r="C18" i="8"/>
  <c r="C20" i="8"/>
  <c r="C14" i="8"/>
  <c r="C15" i="8"/>
  <c r="C41" i="8"/>
  <c r="C35" i="8"/>
  <c r="C29" i="8"/>
  <c r="C22" i="8"/>
  <c r="C23" i="8"/>
  <c r="C43" i="8"/>
  <c r="C37" i="8"/>
  <c r="C31" i="8"/>
  <c r="C26" i="8" l="1"/>
  <c r="C44" i="8"/>
  <c r="C46" i="8" l="1"/>
  <c r="B63" i="6"/>
  <c r="D77" i="5"/>
  <c r="B77" i="5"/>
  <c r="G71" i="5"/>
  <c r="G72" i="5"/>
  <c r="G73" i="5"/>
  <c r="G74" i="5"/>
  <c r="G75" i="5"/>
  <c r="G76" i="5"/>
  <c r="G70" i="5"/>
  <c r="B81" i="4"/>
  <c r="AM82" i="3"/>
  <c r="AM83" i="3"/>
  <c r="AM84" i="3"/>
  <c r="AM85" i="3"/>
  <c r="AM86" i="3"/>
  <c r="AM87" i="3"/>
  <c r="AM81" i="3"/>
  <c r="AM88" i="3" l="1"/>
  <c r="G77" i="5"/>
  <c r="I40" i="7"/>
  <c r="Z32" i="3" l="1"/>
  <c r="Z31" i="3"/>
  <c r="Z30" i="3"/>
  <c r="Z29" i="3"/>
  <c r="X32" i="3"/>
  <c r="X31" i="3"/>
  <c r="X30" i="3"/>
  <c r="X29" i="3"/>
  <c r="V32" i="3"/>
  <c r="V31" i="3"/>
  <c r="V30" i="3"/>
  <c r="V29" i="3"/>
  <c r="T32" i="3"/>
  <c r="T31" i="3"/>
  <c r="T30" i="3"/>
  <c r="T29" i="3"/>
  <c r="R32" i="3"/>
  <c r="R31" i="3"/>
  <c r="R30" i="3"/>
  <c r="R29" i="3"/>
  <c r="P32" i="3"/>
  <c r="P31" i="3"/>
  <c r="P30" i="3"/>
  <c r="P29" i="3"/>
  <c r="N32" i="3"/>
  <c r="N31" i="3"/>
  <c r="N30" i="3"/>
  <c r="N29" i="3"/>
  <c r="L32" i="3"/>
  <c r="L31" i="3"/>
  <c r="L30" i="3"/>
  <c r="L29" i="3"/>
  <c r="J32" i="3"/>
  <c r="J31" i="3"/>
  <c r="J30" i="3"/>
  <c r="J29" i="3"/>
  <c r="H32" i="3"/>
  <c r="H31" i="3"/>
  <c r="H30" i="3"/>
  <c r="H29" i="3"/>
  <c r="F32" i="3"/>
  <c r="F31" i="3"/>
  <c r="F30" i="3"/>
  <c r="F29" i="3"/>
  <c r="F33" i="3" l="1"/>
  <c r="G29" i="3" s="1"/>
  <c r="J33" i="3"/>
  <c r="K31" i="3" s="1"/>
  <c r="L33" i="3"/>
  <c r="M30" i="3" s="1"/>
  <c r="P33" i="3"/>
  <c r="Q32" i="3" s="1"/>
  <c r="X33" i="3"/>
  <c r="Y32" i="3" s="1"/>
  <c r="Z33" i="3"/>
  <c r="AA30" i="3" s="1"/>
  <c r="V33" i="3"/>
  <c r="W32" i="3" s="1"/>
  <c r="T33" i="3"/>
  <c r="U31" i="3" s="1"/>
  <c r="R33" i="3"/>
  <c r="S31" i="3" s="1"/>
  <c r="N33" i="3"/>
  <c r="O30" i="3" s="1"/>
  <c r="H33" i="3"/>
  <c r="I32" i="3" s="1"/>
  <c r="D30" i="3"/>
  <c r="D31" i="3"/>
  <c r="D32" i="3"/>
  <c r="D29" i="3"/>
  <c r="B30" i="3"/>
  <c r="B31" i="3"/>
  <c r="B32" i="3"/>
  <c r="B29" i="3"/>
  <c r="Z68" i="3"/>
  <c r="Z67" i="3"/>
  <c r="Z66" i="3"/>
  <c r="Z65" i="3"/>
  <c r="Z64" i="3"/>
  <c r="Z63" i="3"/>
  <c r="Z62" i="3"/>
  <c r="Z61" i="3"/>
  <c r="Z60" i="3"/>
  <c r="Z59" i="3"/>
  <c r="Z58" i="3"/>
  <c r="Z57" i="3"/>
  <c r="Z56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23" i="3"/>
  <c r="Z22" i="3"/>
  <c r="Z21" i="3"/>
  <c r="Z20" i="3"/>
  <c r="Z19" i="3"/>
  <c r="Z18" i="3"/>
  <c r="Z17" i="3"/>
  <c r="Z16" i="3"/>
  <c r="Z12" i="3"/>
  <c r="Z11" i="3"/>
  <c r="Z10" i="3"/>
  <c r="Z9" i="3"/>
  <c r="Z8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23" i="3"/>
  <c r="X22" i="3"/>
  <c r="X21" i="3"/>
  <c r="X20" i="3"/>
  <c r="X19" i="3"/>
  <c r="X18" i="3"/>
  <c r="X17" i="3"/>
  <c r="X16" i="3"/>
  <c r="X12" i="3"/>
  <c r="X11" i="3"/>
  <c r="X10" i="3"/>
  <c r="X9" i="3"/>
  <c r="X8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23" i="3"/>
  <c r="V22" i="3"/>
  <c r="V21" i="3"/>
  <c r="V20" i="3"/>
  <c r="V19" i="3"/>
  <c r="V18" i="3"/>
  <c r="V17" i="3"/>
  <c r="V16" i="3"/>
  <c r="V12" i="3"/>
  <c r="V11" i="3"/>
  <c r="V10" i="3"/>
  <c r="V9" i="3"/>
  <c r="V8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23" i="3"/>
  <c r="T22" i="3"/>
  <c r="T21" i="3"/>
  <c r="T20" i="3"/>
  <c r="T19" i="3"/>
  <c r="T18" i="3"/>
  <c r="T17" i="3"/>
  <c r="T16" i="3"/>
  <c r="T12" i="3"/>
  <c r="T11" i="3"/>
  <c r="T10" i="3"/>
  <c r="T9" i="3"/>
  <c r="T8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23" i="3"/>
  <c r="R22" i="3"/>
  <c r="R21" i="3"/>
  <c r="R20" i="3"/>
  <c r="R19" i="3"/>
  <c r="R18" i="3"/>
  <c r="R17" i="3"/>
  <c r="R16" i="3"/>
  <c r="R12" i="3"/>
  <c r="R11" i="3"/>
  <c r="R10" i="3"/>
  <c r="R9" i="3"/>
  <c r="R8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23" i="3"/>
  <c r="P22" i="3"/>
  <c r="P21" i="3"/>
  <c r="P20" i="3"/>
  <c r="P19" i="3"/>
  <c r="P18" i="3"/>
  <c r="P17" i="3"/>
  <c r="P16" i="3"/>
  <c r="P12" i="3"/>
  <c r="P11" i="3"/>
  <c r="P10" i="3"/>
  <c r="P9" i="3"/>
  <c r="P8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23" i="3"/>
  <c r="N22" i="3"/>
  <c r="N21" i="3"/>
  <c r="N20" i="3"/>
  <c r="N19" i="3"/>
  <c r="N18" i="3"/>
  <c r="N17" i="3"/>
  <c r="N16" i="3"/>
  <c r="N12" i="3"/>
  <c r="N11" i="3"/>
  <c r="N10" i="3"/>
  <c r="N9" i="3"/>
  <c r="N8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23" i="3"/>
  <c r="L22" i="3"/>
  <c r="L21" i="3"/>
  <c r="L20" i="3"/>
  <c r="L19" i="3"/>
  <c r="L18" i="3"/>
  <c r="L17" i="3"/>
  <c r="L16" i="3"/>
  <c r="L12" i="3"/>
  <c r="L11" i="3"/>
  <c r="L10" i="3"/>
  <c r="L9" i="3"/>
  <c r="L8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23" i="3"/>
  <c r="J22" i="3"/>
  <c r="J21" i="3"/>
  <c r="J20" i="3"/>
  <c r="J19" i="3"/>
  <c r="J18" i="3"/>
  <c r="J17" i="3"/>
  <c r="J16" i="3"/>
  <c r="J12" i="3"/>
  <c r="J11" i="3"/>
  <c r="J10" i="3"/>
  <c r="J9" i="3"/>
  <c r="J8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23" i="3"/>
  <c r="H22" i="3"/>
  <c r="H21" i="3"/>
  <c r="H20" i="3"/>
  <c r="H19" i="3"/>
  <c r="H18" i="3"/>
  <c r="H17" i="3"/>
  <c r="H16" i="3"/>
  <c r="H12" i="3"/>
  <c r="H11" i="3"/>
  <c r="H10" i="3"/>
  <c r="H9" i="3"/>
  <c r="H8" i="3"/>
  <c r="AM30" i="3" l="1"/>
  <c r="AM31" i="3"/>
  <c r="AM29" i="3"/>
  <c r="AM32" i="3"/>
  <c r="L53" i="3"/>
  <c r="M49" i="3" s="1"/>
  <c r="Q29" i="3"/>
  <c r="K32" i="3"/>
  <c r="Y31" i="3"/>
  <c r="K29" i="3"/>
  <c r="G32" i="3"/>
  <c r="AA32" i="3"/>
  <c r="K30" i="3"/>
  <c r="M29" i="3"/>
  <c r="U30" i="3"/>
  <c r="G30" i="3"/>
  <c r="M32" i="3"/>
  <c r="G31" i="3"/>
  <c r="M31" i="3"/>
  <c r="Y30" i="3"/>
  <c r="Q31" i="3"/>
  <c r="Q30" i="3"/>
  <c r="AA29" i="3"/>
  <c r="AA31" i="3"/>
  <c r="O31" i="3"/>
  <c r="U32" i="3"/>
  <c r="Y29" i="3"/>
  <c r="H24" i="3"/>
  <c r="I17" i="3" s="1"/>
  <c r="X24" i="3"/>
  <c r="Y23" i="3" s="1"/>
  <c r="N24" i="3"/>
  <c r="O19" i="3" s="1"/>
  <c r="T24" i="3"/>
  <c r="U23" i="3" s="1"/>
  <c r="I31" i="3"/>
  <c r="R24" i="3"/>
  <c r="S17" i="3" s="1"/>
  <c r="J24" i="3"/>
  <c r="K20" i="3" s="1"/>
  <c r="Z24" i="3"/>
  <c r="AA20" i="3" s="1"/>
  <c r="I29" i="3"/>
  <c r="P24" i="3"/>
  <c r="Q20" i="3" s="1"/>
  <c r="O29" i="3"/>
  <c r="S32" i="3"/>
  <c r="V24" i="3"/>
  <c r="W20" i="3" s="1"/>
  <c r="O32" i="3"/>
  <c r="S30" i="3"/>
  <c r="L24" i="3"/>
  <c r="M20" i="3" s="1"/>
  <c r="W30" i="3"/>
  <c r="W29" i="3"/>
  <c r="W31" i="3"/>
  <c r="U29" i="3"/>
  <c r="S29" i="3"/>
  <c r="I30" i="3"/>
  <c r="H53" i="3"/>
  <c r="I47" i="3" s="1"/>
  <c r="T53" i="3"/>
  <c r="U44" i="3" s="1"/>
  <c r="N69" i="3"/>
  <c r="O67" i="3" s="1"/>
  <c r="T13" i="3"/>
  <c r="U75" i="3" s="1"/>
  <c r="Z69" i="3"/>
  <c r="AA65" i="3" s="1"/>
  <c r="R13" i="3"/>
  <c r="S75" i="3" s="1"/>
  <c r="L69" i="3"/>
  <c r="M67" i="3" s="1"/>
  <c r="P13" i="3"/>
  <c r="Q75" i="3" s="1"/>
  <c r="R53" i="3"/>
  <c r="S37" i="3" s="1"/>
  <c r="H13" i="3"/>
  <c r="I75" i="3" s="1"/>
  <c r="J13" i="3"/>
  <c r="K75" i="3" s="1"/>
  <c r="R69" i="3"/>
  <c r="S67" i="3" s="1"/>
  <c r="V13" i="3"/>
  <c r="W75" i="3" s="1"/>
  <c r="X53" i="3"/>
  <c r="Y49" i="3" s="1"/>
  <c r="L13" i="3"/>
  <c r="M10" i="3" s="1"/>
  <c r="N53" i="3"/>
  <c r="O45" i="3" s="1"/>
  <c r="X69" i="3"/>
  <c r="Y66" i="3" s="1"/>
  <c r="H69" i="3"/>
  <c r="I62" i="3" s="1"/>
  <c r="J53" i="3"/>
  <c r="K41" i="3" s="1"/>
  <c r="T69" i="3"/>
  <c r="U56" i="3" s="1"/>
  <c r="X13" i="3"/>
  <c r="Y75" i="3" s="1"/>
  <c r="J69" i="3"/>
  <c r="K60" i="3" s="1"/>
  <c r="N13" i="3"/>
  <c r="O75" i="3" s="1"/>
  <c r="P53" i="3"/>
  <c r="Q49" i="3" s="1"/>
  <c r="P69" i="3"/>
  <c r="Q64" i="3" s="1"/>
  <c r="V53" i="3"/>
  <c r="W49" i="3" s="1"/>
  <c r="V69" i="3"/>
  <c r="W57" i="3" s="1"/>
  <c r="Z13" i="3"/>
  <c r="AA75" i="3" s="1"/>
  <c r="D33" i="3"/>
  <c r="E29" i="3" s="1"/>
  <c r="Z53" i="3"/>
  <c r="AA36" i="3" s="1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23" i="3"/>
  <c r="F22" i="3"/>
  <c r="F21" i="3"/>
  <c r="F20" i="3"/>
  <c r="F19" i="3"/>
  <c r="F18" i="3"/>
  <c r="F17" i="3"/>
  <c r="F16" i="3"/>
  <c r="F12" i="3"/>
  <c r="F11" i="3"/>
  <c r="F10" i="3"/>
  <c r="F9" i="3"/>
  <c r="F8" i="3"/>
  <c r="D57" i="3"/>
  <c r="D58" i="3"/>
  <c r="D59" i="3"/>
  <c r="D60" i="3"/>
  <c r="D61" i="3"/>
  <c r="D62" i="3"/>
  <c r="D63" i="3"/>
  <c r="D64" i="3"/>
  <c r="D65" i="3"/>
  <c r="D66" i="3"/>
  <c r="D67" i="3"/>
  <c r="D68" i="3"/>
  <c r="D5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36" i="3"/>
  <c r="D23" i="3"/>
  <c r="D22" i="3"/>
  <c r="D18" i="3"/>
  <c r="D19" i="3"/>
  <c r="D20" i="3"/>
  <c r="D21" i="3"/>
  <c r="D17" i="3"/>
  <c r="D16" i="3"/>
  <c r="D9" i="3"/>
  <c r="D10" i="3"/>
  <c r="D11" i="3"/>
  <c r="D12" i="3"/>
  <c r="D8" i="3"/>
  <c r="B8" i="3"/>
  <c r="B32" i="6"/>
  <c r="B33" i="6"/>
  <c r="B34" i="6"/>
  <c r="B35" i="6"/>
  <c r="B36" i="6"/>
  <c r="B37" i="6"/>
  <c r="B38" i="6"/>
  <c r="B39" i="6"/>
  <c r="B40" i="6"/>
  <c r="B41" i="6"/>
  <c r="B42" i="6"/>
  <c r="B43" i="6"/>
  <c r="B31" i="6"/>
  <c r="H79" i="7" l="1"/>
  <c r="H71" i="7"/>
  <c r="H70" i="7"/>
  <c r="H78" i="7"/>
  <c r="H69" i="7"/>
  <c r="H68" i="7"/>
  <c r="H76" i="7"/>
  <c r="H77" i="7"/>
  <c r="H75" i="7"/>
  <c r="K39" i="7"/>
  <c r="H74" i="7"/>
  <c r="B40" i="7"/>
  <c r="C39" i="7" s="1"/>
  <c r="H73" i="7"/>
  <c r="H80" i="7"/>
  <c r="H72" i="7"/>
  <c r="M75" i="3"/>
  <c r="M9" i="3"/>
  <c r="M8" i="3"/>
  <c r="M12" i="3"/>
  <c r="M11" i="3"/>
  <c r="AM8" i="3"/>
  <c r="AM21" i="3"/>
  <c r="O8" i="3"/>
  <c r="S9" i="3"/>
  <c r="AA8" i="3"/>
  <c r="Y12" i="3"/>
  <c r="W9" i="3"/>
  <c r="U8" i="3"/>
  <c r="K8" i="3"/>
  <c r="Q9" i="3"/>
  <c r="K37" i="7"/>
  <c r="K38" i="7"/>
  <c r="S8" i="3"/>
  <c r="S44" i="3"/>
  <c r="I43" i="3"/>
  <c r="S36" i="3"/>
  <c r="I42" i="3"/>
  <c r="I39" i="3"/>
  <c r="H26" i="3"/>
  <c r="I26" i="3" s="1"/>
  <c r="AM33" i="3"/>
  <c r="AN32" i="3" s="1"/>
  <c r="Y22" i="3"/>
  <c r="O36" i="3"/>
  <c r="O46" i="3"/>
  <c r="O52" i="3"/>
  <c r="O44" i="3"/>
  <c r="I46" i="3"/>
  <c r="I36" i="3"/>
  <c r="I49" i="3"/>
  <c r="I44" i="3"/>
  <c r="I37" i="3"/>
  <c r="I67" i="3"/>
  <c r="I40" i="3"/>
  <c r="AA18" i="3"/>
  <c r="Y19" i="3"/>
  <c r="S11" i="3"/>
  <c r="S12" i="3"/>
  <c r="Q17" i="3"/>
  <c r="I59" i="3"/>
  <c r="R26" i="3"/>
  <c r="S26" i="3" s="1"/>
  <c r="I23" i="3"/>
  <c r="S51" i="3"/>
  <c r="Q18" i="3"/>
  <c r="S39" i="3"/>
  <c r="AA17" i="3"/>
  <c r="Y18" i="3"/>
  <c r="K38" i="3"/>
  <c r="K23" i="3"/>
  <c r="AA19" i="3"/>
  <c r="K21" i="3"/>
  <c r="S61" i="3"/>
  <c r="U17" i="3"/>
  <c r="U65" i="3"/>
  <c r="I18" i="3"/>
  <c r="W47" i="3"/>
  <c r="K16" i="3"/>
  <c r="Q19" i="3"/>
  <c r="W38" i="3"/>
  <c r="K17" i="3"/>
  <c r="I19" i="3"/>
  <c r="S18" i="3"/>
  <c r="S65" i="3"/>
  <c r="I20" i="3"/>
  <c r="S63" i="3"/>
  <c r="K19" i="3"/>
  <c r="K18" i="3"/>
  <c r="I58" i="3"/>
  <c r="S58" i="3"/>
  <c r="I22" i="3"/>
  <c r="I21" i="3"/>
  <c r="O23" i="3"/>
  <c r="F24" i="3"/>
  <c r="G16" i="3" s="1"/>
  <c r="M16" i="3"/>
  <c r="Y21" i="3"/>
  <c r="Y20" i="3"/>
  <c r="W22" i="3"/>
  <c r="W21" i="3"/>
  <c r="Q21" i="3"/>
  <c r="AA21" i="3"/>
  <c r="M18" i="3"/>
  <c r="Q47" i="3"/>
  <c r="L26" i="3"/>
  <c r="W23" i="3"/>
  <c r="U41" i="3"/>
  <c r="M22" i="3"/>
  <c r="E30" i="3"/>
  <c r="K52" i="3"/>
  <c r="Q52" i="3"/>
  <c r="U52" i="3"/>
  <c r="W17" i="3"/>
  <c r="W16" i="3"/>
  <c r="W18" i="3"/>
  <c r="U18" i="3"/>
  <c r="U21" i="3"/>
  <c r="S20" i="3"/>
  <c r="S16" i="3"/>
  <c r="U16" i="3"/>
  <c r="O16" i="3"/>
  <c r="Y16" i="3"/>
  <c r="E32" i="3"/>
  <c r="K11" i="3"/>
  <c r="Q44" i="3"/>
  <c r="U20" i="3"/>
  <c r="U19" i="3"/>
  <c r="O22" i="3"/>
  <c r="S21" i="3"/>
  <c r="Q23" i="3"/>
  <c r="M17" i="3"/>
  <c r="S19" i="3"/>
  <c r="AA22" i="3"/>
  <c r="M19" i="3"/>
  <c r="W19" i="3"/>
  <c r="I16" i="3"/>
  <c r="D24" i="3"/>
  <c r="E19" i="3" s="1"/>
  <c r="M43" i="3"/>
  <c r="Q51" i="3"/>
  <c r="V26" i="3"/>
  <c r="S50" i="3"/>
  <c r="S40" i="3"/>
  <c r="S23" i="3"/>
  <c r="S22" i="3"/>
  <c r="O18" i="3"/>
  <c r="Q22" i="3"/>
  <c r="Y17" i="3"/>
  <c r="K22" i="3"/>
  <c r="U22" i="3"/>
  <c r="M23" i="3"/>
  <c r="Q16" i="3"/>
  <c r="M21" i="3"/>
  <c r="O17" i="3"/>
  <c r="E31" i="3"/>
  <c r="S41" i="3"/>
  <c r="O21" i="3"/>
  <c r="O20" i="3"/>
  <c r="AA16" i="3"/>
  <c r="AA23" i="3"/>
  <c r="I38" i="3"/>
  <c r="I63" i="3"/>
  <c r="M46" i="3"/>
  <c r="Q39" i="3"/>
  <c r="S10" i="3"/>
  <c r="S52" i="3"/>
  <c r="W12" i="3"/>
  <c r="O41" i="3"/>
  <c r="I56" i="3"/>
  <c r="I52" i="3"/>
  <c r="I51" i="3"/>
  <c r="O38" i="3"/>
  <c r="S56" i="3"/>
  <c r="U60" i="3"/>
  <c r="AA10" i="3"/>
  <c r="K10" i="3"/>
  <c r="O10" i="3"/>
  <c r="Q57" i="3"/>
  <c r="U59" i="3"/>
  <c r="U51" i="3"/>
  <c r="Y39" i="3"/>
  <c r="U48" i="3"/>
  <c r="U38" i="3"/>
  <c r="U50" i="3"/>
  <c r="M36" i="3"/>
  <c r="O12" i="3"/>
  <c r="U58" i="3"/>
  <c r="U43" i="3"/>
  <c r="Y46" i="3"/>
  <c r="U40" i="3"/>
  <c r="U42" i="3"/>
  <c r="M47" i="3"/>
  <c r="U39" i="3"/>
  <c r="U61" i="3"/>
  <c r="M38" i="3"/>
  <c r="U36" i="3"/>
  <c r="U57" i="3"/>
  <c r="AA58" i="3"/>
  <c r="K12" i="3"/>
  <c r="M52" i="3"/>
  <c r="U68" i="3"/>
  <c r="U64" i="3"/>
  <c r="U49" i="3"/>
  <c r="K9" i="3"/>
  <c r="U67" i="3"/>
  <c r="U62" i="3"/>
  <c r="W44" i="3"/>
  <c r="U46" i="3"/>
  <c r="U45" i="3"/>
  <c r="K44" i="3"/>
  <c r="K43" i="3"/>
  <c r="AA37" i="3"/>
  <c r="K47" i="3"/>
  <c r="M61" i="3"/>
  <c r="K36" i="3"/>
  <c r="K53" i="3" s="1"/>
  <c r="K59" i="3"/>
  <c r="K46" i="3"/>
  <c r="O47" i="3"/>
  <c r="O51" i="3"/>
  <c r="K48" i="3"/>
  <c r="K45" i="3"/>
  <c r="M65" i="3"/>
  <c r="O39" i="3"/>
  <c r="O43" i="3"/>
  <c r="Q43" i="3"/>
  <c r="W48" i="3"/>
  <c r="O40" i="3"/>
  <c r="K40" i="3"/>
  <c r="K37" i="3"/>
  <c r="Q36" i="3"/>
  <c r="W40" i="3"/>
  <c r="AA56" i="3"/>
  <c r="K67" i="3"/>
  <c r="K58" i="3"/>
  <c r="K62" i="3"/>
  <c r="M63" i="3"/>
  <c r="Q58" i="3"/>
  <c r="Q62" i="3"/>
  <c r="S66" i="3"/>
  <c r="I64" i="3"/>
  <c r="M62" i="3"/>
  <c r="O9" i="3"/>
  <c r="O61" i="3"/>
  <c r="S57" i="3"/>
  <c r="W67" i="3"/>
  <c r="Y36" i="3"/>
  <c r="AA12" i="3"/>
  <c r="W37" i="3"/>
  <c r="O48" i="3"/>
  <c r="S38" i="3"/>
  <c r="S45" i="3"/>
  <c r="U10" i="3"/>
  <c r="I68" i="3"/>
  <c r="M56" i="3"/>
  <c r="N26" i="3"/>
  <c r="Q56" i="3"/>
  <c r="Q8" i="3"/>
  <c r="Q61" i="3"/>
  <c r="S64" i="3"/>
  <c r="Y58" i="3"/>
  <c r="Z26" i="3"/>
  <c r="AA26" i="3" s="1"/>
  <c r="M66" i="3"/>
  <c r="Q68" i="3"/>
  <c r="Q63" i="3"/>
  <c r="S59" i="3"/>
  <c r="I57" i="3"/>
  <c r="I66" i="3"/>
  <c r="K56" i="3"/>
  <c r="Q67" i="3"/>
  <c r="S68" i="3"/>
  <c r="Y51" i="3"/>
  <c r="AA11" i="3"/>
  <c r="K66" i="3"/>
  <c r="M64" i="3"/>
  <c r="Q66" i="3"/>
  <c r="S60" i="3"/>
  <c r="S62" i="3"/>
  <c r="I60" i="3"/>
  <c r="I48" i="3"/>
  <c r="I45" i="3"/>
  <c r="I50" i="3"/>
  <c r="K57" i="3"/>
  <c r="K39" i="3"/>
  <c r="J26" i="3"/>
  <c r="M58" i="3"/>
  <c r="M44" i="3"/>
  <c r="O11" i="3"/>
  <c r="Q60" i="3"/>
  <c r="Q65" i="3"/>
  <c r="S47" i="3"/>
  <c r="S43" i="3"/>
  <c r="U66" i="3"/>
  <c r="U63" i="3"/>
  <c r="Y48" i="3"/>
  <c r="S49" i="3"/>
  <c r="U37" i="3"/>
  <c r="S46" i="3"/>
  <c r="I41" i="3"/>
  <c r="I65" i="3"/>
  <c r="K64" i="3"/>
  <c r="K65" i="3"/>
  <c r="K51" i="3"/>
  <c r="M39" i="3"/>
  <c r="M57" i="3"/>
  <c r="M51" i="3"/>
  <c r="Q59" i="3"/>
  <c r="U47" i="3"/>
  <c r="Y47" i="3"/>
  <c r="AA9" i="3"/>
  <c r="S42" i="3"/>
  <c r="S48" i="3"/>
  <c r="Y41" i="3"/>
  <c r="Y45" i="3"/>
  <c r="O66" i="3"/>
  <c r="U9" i="3"/>
  <c r="O59" i="3"/>
  <c r="Q41" i="3"/>
  <c r="O58" i="3"/>
  <c r="U12" i="3"/>
  <c r="W10" i="3"/>
  <c r="Y64" i="3"/>
  <c r="M41" i="3"/>
  <c r="O65" i="3"/>
  <c r="O62" i="3"/>
  <c r="T26" i="3"/>
  <c r="W11" i="3"/>
  <c r="Y67" i="3"/>
  <c r="Y62" i="3"/>
  <c r="W45" i="3"/>
  <c r="I8" i="3"/>
  <c r="O57" i="3"/>
  <c r="W8" i="3"/>
  <c r="AA48" i="3"/>
  <c r="I61" i="3"/>
  <c r="O56" i="3"/>
  <c r="O64" i="3"/>
  <c r="U11" i="3"/>
  <c r="W46" i="3"/>
  <c r="AA41" i="3"/>
  <c r="O68" i="3"/>
  <c r="O63" i="3"/>
  <c r="Y57" i="3"/>
  <c r="O60" i="3"/>
  <c r="Y9" i="3"/>
  <c r="AA57" i="3"/>
  <c r="AA62" i="3"/>
  <c r="K68" i="3"/>
  <c r="X26" i="3"/>
  <c r="AA64" i="3"/>
  <c r="I11" i="3"/>
  <c r="Y40" i="3"/>
  <c r="Y65" i="3"/>
  <c r="Y43" i="3"/>
  <c r="AA66" i="3"/>
  <c r="AA63" i="3"/>
  <c r="W41" i="3"/>
  <c r="M48" i="3"/>
  <c r="I12" i="3"/>
  <c r="AA47" i="3"/>
  <c r="K63" i="3"/>
  <c r="AA61" i="3"/>
  <c r="I9" i="3"/>
  <c r="AA68" i="3"/>
  <c r="AA51" i="3"/>
  <c r="I10" i="3"/>
  <c r="Y68" i="3"/>
  <c r="Y10" i="3"/>
  <c r="Y63" i="3"/>
  <c r="AA60" i="3"/>
  <c r="AA67" i="3"/>
  <c r="AA50" i="3"/>
  <c r="Y50" i="3"/>
  <c r="O49" i="3"/>
  <c r="Y60" i="3"/>
  <c r="Y8" i="3"/>
  <c r="Y44" i="3"/>
  <c r="AA49" i="3"/>
  <c r="AA59" i="3"/>
  <c r="Q50" i="3"/>
  <c r="K61" i="3"/>
  <c r="P26" i="3"/>
  <c r="W59" i="3"/>
  <c r="Q48" i="3"/>
  <c r="O50" i="3"/>
  <c r="W64" i="3"/>
  <c r="Q40" i="3"/>
  <c r="M40" i="3"/>
  <c r="O42" i="3"/>
  <c r="W63" i="3"/>
  <c r="W61" i="3"/>
  <c r="Q10" i="3"/>
  <c r="W66" i="3"/>
  <c r="W52" i="3"/>
  <c r="Y59" i="3"/>
  <c r="Y11" i="3"/>
  <c r="Y38" i="3"/>
  <c r="AA38" i="3"/>
  <c r="W60" i="3"/>
  <c r="W50" i="3"/>
  <c r="W68" i="3"/>
  <c r="Y37" i="3"/>
  <c r="K50" i="3"/>
  <c r="M45" i="3"/>
  <c r="Q11" i="3"/>
  <c r="W58" i="3"/>
  <c r="AA45" i="3"/>
  <c r="Y61" i="3"/>
  <c r="Q46" i="3"/>
  <c r="O37" i="3"/>
  <c r="Q45" i="3"/>
  <c r="W51" i="3"/>
  <c r="M50" i="3"/>
  <c r="W42" i="3"/>
  <c r="M68" i="3"/>
  <c r="K42" i="3"/>
  <c r="K49" i="3"/>
  <c r="M37" i="3"/>
  <c r="Q12" i="3"/>
  <c r="W56" i="3"/>
  <c r="W65" i="3"/>
  <c r="W62" i="3"/>
  <c r="AA43" i="3"/>
  <c r="Q38" i="3"/>
  <c r="Q37" i="3"/>
  <c r="W43" i="3"/>
  <c r="M42" i="3"/>
  <c r="M60" i="3"/>
  <c r="Q42" i="3"/>
  <c r="W36" i="3"/>
  <c r="W53" i="3" s="1"/>
  <c r="W39" i="3"/>
  <c r="Y56" i="3"/>
  <c r="Y52" i="3"/>
  <c r="AA42" i="3"/>
  <c r="AA39" i="3"/>
  <c r="Y42" i="3"/>
  <c r="M59" i="3"/>
  <c r="AA40" i="3"/>
  <c r="AA52" i="3"/>
  <c r="AA44" i="3"/>
  <c r="AA46" i="3"/>
  <c r="B44" i="6"/>
  <c r="C32" i="6" s="1"/>
  <c r="D53" i="3"/>
  <c r="E45" i="3" s="1"/>
  <c r="F53" i="3"/>
  <c r="G43" i="3" s="1"/>
  <c r="F69" i="3"/>
  <c r="G58" i="3" s="1"/>
  <c r="D69" i="3"/>
  <c r="E66" i="3" s="1"/>
  <c r="F13" i="3"/>
  <c r="G11" i="3" s="1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12" i="6"/>
  <c r="H81" i="7" l="1"/>
  <c r="I73" i="7" s="1"/>
  <c r="K36" i="16"/>
  <c r="B40" i="16"/>
  <c r="C37" i="16" s="1"/>
  <c r="K36" i="7"/>
  <c r="K40" i="7" s="1"/>
  <c r="L36" i="7" s="1"/>
  <c r="K39" i="16"/>
  <c r="H81" i="16"/>
  <c r="I74" i="16" s="1"/>
  <c r="K37" i="16"/>
  <c r="K38" i="16"/>
  <c r="Z71" i="3"/>
  <c r="G75" i="3"/>
  <c r="G10" i="3"/>
  <c r="G12" i="3"/>
  <c r="G9" i="3"/>
  <c r="G8" i="3"/>
  <c r="S53" i="3"/>
  <c r="I53" i="3"/>
  <c r="O53" i="3"/>
  <c r="Q53" i="3"/>
  <c r="AA53" i="3"/>
  <c r="M53" i="3"/>
  <c r="Y53" i="3"/>
  <c r="U53" i="3"/>
  <c r="H71" i="3"/>
  <c r="C37" i="7"/>
  <c r="C38" i="7"/>
  <c r="C36" i="7"/>
  <c r="K8" i="7"/>
  <c r="AN31" i="3"/>
  <c r="AN30" i="3"/>
  <c r="AN29" i="3"/>
  <c r="R71" i="3"/>
  <c r="X71" i="3"/>
  <c r="Y26" i="3"/>
  <c r="J71" i="3"/>
  <c r="K26" i="3"/>
  <c r="G21" i="3"/>
  <c r="T71" i="3"/>
  <c r="U26" i="3"/>
  <c r="L71" i="3"/>
  <c r="M26" i="3"/>
  <c r="P71" i="3"/>
  <c r="Q26" i="3"/>
  <c r="N71" i="3"/>
  <c r="O26" i="3"/>
  <c r="V71" i="3"/>
  <c r="W26" i="3"/>
  <c r="G18" i="3"/>
  <c r="G23" i="3"/>
  <c r="E17" i="3"/>
  <c r="G20" i="3"/>
  <c r="G19" i="3"/>
  <c r="G17" i="3"/>
  <c r="G22" i="3"/>
  <c r="E23" i="3"/>
  <c r="E16" i="3"/>
  <c r="E22" i="3"/>
  <c r="E18" i="3"/>
  <c r="E20" i="3"/>
  <c r="E21" i="3"/>
  <c r="C31" i="6"/>
  <c r="E44" i="3"/>
  <c r="G40" i="3"/>
  <c r="E37" i="3"/>
  <c r="C40" i="6"/>
  <c r="G46" i="3"/>
  <c r="C39" i="6"/>
  <c r="C37" i="6"/>
  <c r="G59" i="3"/>
  <c r="G36" i="3"/>
  <c r="G64" i="3"/>
  <c r="C38" i="6"/>
  <c r="E43" i="3"/>
  <c r="G63" i="3"/>
  <c r="C33" i="6"/>
  <c r="E48" i="3"/>
  <c r="G38" i="3"/>
  <c r="C34" i="6"/>
  <c r="C35" i="6"/>
  <c r="C41" i="6"/>
  <c r="E38" i="3"/>
  <c r="E50" i="3"/>
  <c r="G39" i="3"/>
  <c r="G61" i="3"/>
  <c r="C43" i="6"/>
  <c r="E51" i="3"/>
  <c r="G56" i="3"/>
  <c r="G65" i="3"/>
  <c r="E41" i="3"/>
  <c r="C36" i="6"/>
  <c r="C42" i="6"/>
  <c r="E39" i="3"/>
  <c r="G57" i="3"/>
  <c r="G45" i="3"/>
  <c r="E46" i="3"/>
  <c r="G52" i="3"/>
  <c r="G44" i="3"/>
  <c r="E52" i="3"/>
  <c r="E36" i="3"/>
  <c r="G41" i="3"/>
  <c r="G50" i="3"/>
  <c r="E47" i="3"/>
  <c r="E40" i="3"/>
  <c r="E42" i="3"/>
  <c r="E49" i="3"/>
  <c r="G37" i="3"/>
  <c r="G47" i="3"/>
  <c r="E64" i="3"/>
  <c r="E57" i="3"/>
  <c r="E63" i="3"/>
  <c r="E62" i="3"/>
  <c r="E59" i="3"/>
  <c r="E65" i="3"/>
  <c r="E58" i="3"/>
  <c r="G67" i="3"/>
  <c r="G49" i="3"/>
  <c r="G62" i="3"/>
  <c r="G42" i="3"/>
  <c r="E67" i="3"/>
  <c r="E60" i="3"/>
  <c r="G68" i="3"/>
  <c r="G48" i="3"/>
  <c r="G66" i="3"/>
  <c r="G51" i="3"/>
  <c r="E61" i="3"/>
  <c r="G60" i="3"/>
  <c r="E56" i="3"/>
  <c r="E68" i="3"/>
  <c r="F26" i="3"/>
  <c r="B28" i="6"/>
  <c r="C25" i="6" s="1"/>
  <c r="B8" i="6"/>
  <c r="B7" i="6"/>
  <c r="C39" i="16" l="1"/>
  <c r="I75" i="7"/>
  <c r="I77" i="7"/>
  <c r="I80" i="7"/>
  <c r="I70" i="7"/>
  <c r="I76" i="7"/>
  <c r="I78" i="7"/>
  <c r="I74" i="7"/>
  <c r="I68" i="7"/>
  <c r="I69" i="7"/>
  <c r="I71" i="7"/>
  <c r="I72" i="7"/>
  <c r="I79" i="7"/>
  <c r="C38" i="16"/>
  <c r="I69" i="16"/>
  <c r="I75" i="16"/>
  <c r="I77" i="16"/>
  <c r="C36" i="16"/>
  <c r="I73" i="16"/>
  <c r="I78" i="16"/>
  <c r="I70" i="16"/>
  <c r="I72" i="16"/>
  <c r="I71" i="16"/>
  <c r="I76" i="16"/>
  <c r="I79" i="16"/>
  <c r="I68" i="16"/>
  <c r="H18" i="7"/>
  <c r="K18" i="7" s="1"/>
  <c r="K40" i="16"/>
  <c r="L36" i="16" s="1"/>
  <c r="K8" i="16"/>
  <c r="H19" i="7"/>
  <c r="K19" i="7" s="1"/>
  <c r="I80" i="16"/>
  <c r="G24" i="3"/>
  <c r="E53" i="3"/>
  <c r="G53" i="3"/>
  <c r="C40" i="7"/>
  <c r="L37" i="7"/>
  <c r="L39" i="7"/>
  <c r="L38" i="7"/>
  <c r="F71" i="3"/>
  <c r="G26" i="3"/>
  <c r="C18" i="6"/>
  <c r="C26" i="6"/>
  <c r="C13" i="6"/>
  <c r="C19" i="6"/>
  <c r="C23" i="6"/>
  <c r="C16" i="6"/>
  <c r="C21" i="6"/>
  <c r="C27" i="6"/>
  <c r="C14" i="6"/>
  <c r="C12" i="6"/>
  <c r="C15" i="6"/>
  <c r="C22" i="6"/>
  <c r="C24" i="6"/>
  <c r="C17" i="6"/>
  <c r="C20" i="6"/>
  <c r="B9" i="6"/>
  <c r="H20" i="7" l="1"/>
  <c r="I18" i="7" s="1"/>
  <c r="L37" i="16"/>
  <c r="H20" i="16"/>
  <c r="I18" i="16" s="1"/>
  <c r="K18" i="16"/>
  <c r="K19" i="16"/>
  <c r="L39" i="16"/>
  <c r="C40" i="16"/>
  <c r="L38" i="16"/>
  <c r="C7" i="6"/>
  <c r="B46" i="6"/>
  <c r="C44" i="6"/>
  <c r="C28" i="6"/>
  <c r="C8" i="6"/>
  <c r="G64" i="5"/>
  <c r="F87" i="7" s="1"/>
  <c r="K87" i="7" s="1"/>
  <c r="I19" i="16" l="1"/>
  <c r="I19" i="7"/>
  <c r="H33" i="7"/>
  <c r="I33" i="7" s="1"/>
  <c r="H83" i="7"/>
  <c r="H33" i="16"/>
  <c r="I33" i="16" s="1"/>
  <c r="H83" i="16"/>
  <c r="C9" i="6"/>
  <c r="C46" i="6"/>
  <c r="D45" i="5"/>
  <c r="D46" i="5"/>
  <c r="D47" i="5"/>
  <c r="D48" i="5"/>
  <c r="D49" i="5"/>
  <c r="D50" i="5"/>
  <c r="D51" i="5"/>
  <c r="D52" i="5"/>
  <c r="D53" i="5"/>
  <c r="D54" i="5"/>
  <c r="D55" i="5"/>
  <c r="D56" i="5"/>
  <c r="D44" i="5"/>
  <c r="B46" i="5"/>
  <c r="B47" i="5"/>
  <c r="B48" i="5"/>
  <c r="B49" i="5"/>
  <c r="B50" i="5"/>
  <c r="B51" i="5"/>
  <c r="B52" i="5"/>
  <c r="B53" i="5"/>
  <c r="B54" i="5"/>
  <c r="B55" i="5"/>
  <c r="B56" i="5"/>
  <c r="B44" i="5"/>
  <c r="B45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26" i="5"/>
  <c r="B20" i="5"/>
  <c r="B19" i="5"/>
  <c r="B15" i="5"/>
  <c r="B16" i="5"/>
  <c r="B17" i="5"/>
  <c r="B18" i="5"/>
  <c r="B14" i="5"/>
  <c r="B13" i="5"/>
  <c r="G45" i="5" l="1"/>
  <c r="G48" i="5"/>
  <c r="G33" i="5"/>
  <c r="G56" i="5"/>
  <c r="G26" i="5"/>
  <c r="G29" i="5"/>
  <c r="G37" i="5"/>
  <c r="G36" i="5"/>
  <c r="G28" i="5"/>
  <c r="G44" i="5"/>
  <c r="G49" i="5"/>
  <c r="G53" i="5"/>
  <c r="G55" i="5"/>
  <c r="G47" i="5"/>
  <c r="G35" i="5"/>
  <c r="G27" i="5"/>
  <c r="G39" i="5"/>
  <c r="G31" i="5"/>
  <c r="G54" i="5"/>
  <c r="G46" i="5"/>
  <c r="G32" i="5"/>
  <c r="G40" i="5"/>
  <c r="G52" i="5"/>
  <c r="G51" i="5"/>
  <c r="G34" i="5"/>
  <c r="G38" i="5"/>
  <c r="G30" i="5"/>
  <c r="G50" i="5"/>
  <c r="D57" i="5"/>
  <c r="E52" i="5" s="1"/>
  <c r="B57" i="5"/>
  <c r="D41" i="5"/>
  <c r="B41" i="5"/>
  <c r="C27" i="5" s="1"/>
  <c r="B21" i="5"/>
  <c r="C15" i="5" s="1"/>
  <c r="D15" i="5" s="1"/>
  <c r="G15" i="5" s="1"/>
  <c r="D8" i="5"/>
  <c r="D9" i="5"/>
  <c r="D7" i="5"/>
  <c r="B8" i="5"/>
  <c r="B9" i="5"/>
  <c r="B7" i="5"/>
  <c r="B50" i="4"/>
  <c r="B51" i="4"/>
  <c r="B52" i="4"/>
  <c r="B53" i="4"/>
  <c r="B54" i="4"/>
  <c r="B55" i="4"/>
  <c r="B56" i="4"/>
  <c r="B57" i="4"/>
  <c r="B58" i="4"/>
  <c r="B59" i="4"/>
  <c r="B60" i="4"/>
  <c r="B61" i="4"/>
  <c r="B49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27" i="4"/>
  <c r="D25" i="7"/>
  <c r="D26" i="7"/>
  <c r="D27" i="7"/>
  <c r="D28" i="7"/>
  <c r="D29" i="7"/>
  <c r="D30" i="7"/>
  <c r="D24" i="7"/>
  <c r="B14" i="4"/>
  <c r="B9" i="4"/>
  <c r="B10" i="4"/>
  <c r="B8" i="4"/>
  <c r="B33" i="3"/>
  <c r="D23" i="7" l="1"/>
  <c r="D31" i="7" s="1"/>
  <c r="E23" i="7" s="1"/>
  <c r="D31" i="16"/>
  <c r="D43" i="7"/>
  <c r="D55" i="7"/>
  <c r="D47" i="7"/>
  <c r="D75" i="7"/>
  <c r="F63" i="7"/>
  <c r="F71" i="7"/>
  <c r="F48" i="7"/>
  <c r="D62" i="7"/>
  <c r="D54" i="7"/>
  <c r="D46" i="7"/>
  <c r="D74" i="7"/>
  <c r="F51" i="7"/>
  <c r="F79" i="7"/>
  <c r="F43" i="7"/>
  <c r="D61" i="7"/>
  <c r="D53" i="7"/>
  <c r="D68" i="7"/>
  <c r="D73" i="7"/>
  <c r="F74" i="7"/>
  <c r="F70" i="7"/>
  <c r="F77" i="7"/>
  <c r="F80" i="7"/>
  <c r="D63" i="7"/>
  <c r="D52" i="7"/>
  <c r="D80" i="7"/>
  <c r="D72" i="7"/>
  <c r="F49" i="7"/>
  <c r="F78" i="7"/>
  <c r="F73" i="7"/>
  <c r="F52" i="7"/>
  <c r="D59" i="7"/>
  <c r="K59" i="7" s="1"/>
  <c r="D51" i="7"/>
  <c r="D79" i="7"/>
  <c r="D71" i="7"/>
  <c r="F61" i="7"/>
  <c r="F50" i="7"/>
  <c r="F68" i="7"/>
  <c r="F72" i="7"/>
  <c r="D58" i="7"/>
  <c r="K58" i="7" s="1"/>
  <c r="D50" i="7"/>
  <c r="D78" i="7"/>
  <c r="D70" i="7"/>
  <c r="F25" i="7"/>
  <c r="F53" i="7"/>
  <c r="F62" i="7"/>
  <c r="F47" i="7"/>
  <c r="F69" i="7"/>
  <c r="D15" i="7"/>
  <c r="D57" i="7"/>
  <c r="K57" i="7" s="1"/>
  <c r="D49" i="7"/>
  <c r="D77" i="7"/>
  <c r="D69" i="7"/>
  <c r="F75" i="7"/>
  <c r="F46" i="7"/>
  <c r="F55" i="7"/>
  <c r="D13" i="7"/>
  <c r="D14" i="7"/>
  <c r="D56" i="7"/>
  <c r="K56" i="7" s="1"/>
  <c r="D48" i="7"/>
  <c r="D76" i="7"/>
  <c r="F76" i="7"/>
  <c r="F54" i="7"/>
  <c r="F60" i="7"/>
  <c r="C30" i="3"/>
  <c r="C32" i="3"/>
  <c r="C31" i="3"/>
  <c r="C29" i="3"/>
  <c r="G57" i="5"/>
  <c r="H51" i="5" s="1"/>
  <c r="E46" i="5"/>
  <c r="E55" i="5"/>
  <c r="E44" i="5"/>
  <c r="E50" i="5"/>
  <c r="C40" i="5"/>
  <c r="G9" i="5"/>
  <c r="C30" i="5"/>
  <c r="G8" i="5"/>
  <c r="C29" i="5"/>
  <c r="E47" i="5"/>
  <c r="C36" i="5"/>
  <c r="C32" i="5"/>
  <c r="G41" i="5"/>
  <c r="H34" i="5" s="1"/>
  <c r="C35" i="5"/>
  <c r="E48" i="5"/>
  <c r="E51" i="5"/>
  <c r="E56" i="5"/>
  <c r="E49" i="5"/>
  <c r="D10" i="5"/>
  <c r="E9" i="5" s="1"/>
  <c r="E54" i="5"/>
  <c r="E53" i="5"/>
  <c r="E45" i="5"/>
  <c r="C14" i="5"/>
  <c r="D14" i="5" s="1"/>
  <c r="G14" i="5" s="1"/>
  <c r="C37" i="5"/>
  <c r="B10" i="5"/>
  <c r="C21" i="5" s="1"/>
  <c r="G7" i="5"/>
  <c r="C45" i="5"/>
  <c r="C53" i="5"/>
  <c r="C46" i="5"/>
  <c r="C54" i="5"/>
  <c r="C51" i="5"/>
  <c r="C52" i="5"/>
  <c r="C47" i="5"/>
  <c r="C55" i="5"/>
  <c r="C48" i="5"/>
  <c r="C56" i="5"/>
  <c r="C49" i="5"/>
  <c r="C50" i="5"/>
  <c r="C44" i="5"/>
  <c r="E29" i="5"/>
  <c r="E37" i="5"/>
  <c r="E31" i="5"/>
  <c r="E32" i="5"/>
  <c r="E30" i="5"/>
  <c r="E38" i="5"/>
  <c r="E39" i="5"/>
  <c r="E40" i="5"/>
  <c r="E34" i="5"/>
  <c r="E27" i="5"/>
  <c r="E35" i="5"/>
  <c r="E36" i="5"/>
  <c r="E33" i="5"/>
  <c r="E28" i="5"/>
  <c r="E26" i="5"/>
  <c r="C26" i="5"/>
  <c r="C28" i="5"/>
  <c r="C34" i="5"/>
  <c r="C39" i="5"/>
  <c r="C31" i="5"/>
  <c r="C38" i="5"/>
  <c r="C33" i="5"/>
  <c r="C16" i="5"/>
  <c r="D16" i="5" s="1"/>
  <c r="G16" i="5" s="1"/>
  <c r="C18" i="5"/>
  <c r="D18" i="5" s="1"/>
  <c r="G18" i="5" s="1"/>
  <c r="C20" i="5"/>
  <c r="D20" i="5" s="1"/>
  <c r="G20" i="5" s="1"/>
  <c r="C17" i="5"/>
  <c r="D17" i="5" s="1"/>
  <c r="G17" i="5" s="1"/>
  <c r="C19" i="5"/>
  <c r="D19" i="5" s="1"/>
  <c r="G19" i="5" s="1"/>
  <c r="C13" i="5"/>
  <c r="B22" i="4"/>
  <c r="C16" i="4" s="1"/>
  <c r="B62" i="4"/>
  <c r="C56" i="4" s="1"/>
  <c r="B46" i="4"/>
  <c r="B11" i="4"/>
  <c r="B9" i="3"/>
  <c r="B10" i="3"/>
  <c r="B11" i="3"/>
  <c r="B12" i="3"/>
  <c r="D64" i="7" l="1"/>
  <c r="E54" i="7" s="1"/>
  <c r="D20" i="7"/>
  <c r="E14" i="7" s="1"/>
  <c r="D81" i="7"/>
  <c r="E76" i="7" s="1"/>
  <c r="F81" i="7"/>
  <c r="G75" i="7" s="1"/>
  <c r="F64" i="7"/>
  <c r="G50" i="7" s="1"/>
  <c r="K58" i="16"/>
  <c r="K59" i="16"/>
  <c r="F29" i="7"/>
  <c r="F13" i="7"/>
  <c r="K56" i="16"/>
  <c r="F64" i="16"/>
  <c r="G49" i="16" s="1"/>
  <c r="F27" i="7"/>
  <c r="F30" i="7"/>
  <c r="F16" i="7"/>
  <c r="K57" i="16"/>
  <c r="F81" i="16"/>
  <c r="G79" i="16" s="1"/>
  <c r="D81" i="16"/>
  <c r="E77" i="16" s="1"/>
  <c r="D64" i="16"/>
  <c r="E52" i="16" s="1"/>
  <c r="F24" i="7"/>
  <c r="F26" i="7"/>
  <c r="D20" i="16"/>
  <c r="E13" i="16" s="1"/>
  <c r="E23" i="16"/>
  <c r="E25" i="16"/>
  <c r="E30" i="16"/>
  <c r="E24" i="16"/>
  <c r="E28" i="16"/>
  <c r="E27" i="16"/>
  <c r="E26" i="16"/>
  <c r="E29" i="16"/>
  <c r="F28" i="7"/>
  <c r="F17" i="7"/>
  <c r="AM9" i="3"/>
  <c r="AM12" i="3"/>
  <c r="AM11" i="3"/>
  <c r="AM10" i="3"/>
  <c r="E28" i="7"/>
  <c r="E70" i="7"/>
  <c r="E27" i="7"/>
  <c r="G76" i="7"/>
  <c r="E68" i="7"/>
  <c r="E25" i="7"/>
  <c r="E75" i="7"/>
  <c r="E29" i="7"/>
  <c r="E30" i="7"/>
  <c r="E24" i="7"/>
  <c r="E26" i="7"/>
  <c r="C10" i="4"/>
  <c r="H54" i="5"/>
  <c r="H53" i="5"/>
  <c r="H44" i="5"/>
  <c r="H46" i="5"/>
  <c r="H52" i="5"/>
  <c r="H47" i="5"/>
  <c r="H35" i="5"/>
  <c r="H48" i="5"/>
  <c r="H56" i="5"/>
  <c r="H45" i="5"/>
  <c r="H49" i="5"/>
  <c r="H50" i="5"/>
  <c r="H55" i="5"/>
  <c r="H31" i="5"/>
  <c r="H28" i="5"/>
  <c r="H29" i="5"/>
  <c r="H30" i="5"/>
  <c r="H37" i="5"/>
  <c r="H36" i="5"/>
  <c r="H26" i="5"/>
  <c r="H38" i="5"/>
  <c r="H40" i="5"/>
  <c r="H39" i="5"/>
  <c r="E8" i="5"/>
  <c r="H32" i="5"/>
  <c r="E41" i="5"/>
  <c r="H33" i="5"/>
  <c r="H27" i="5"/>
  <c r="C57" i="5"/>
  <c r="E57" i="5"/>
  <c r="C41" i="5"/>
  <c r="G10" i="5"/>
  <c r="B23" i="5"/>
  <c r="E7" i="5"/>
  <c r="D13" i="5"/>
  <c r="G13" i="5" s="1"/>
  <c r="C17" i="4"/>
  <c r="C59" i="4"/>
  <c r="C43" i="4"/>
  <c r="C42" i="4"/>
  <c r="C22" i="4"/>
  <c r="C20" i="4"/>
  <c r="C30" i="4"/>
  <c r="C14" i="4"/>
  <c r="C55" i="4"/>
  <c r="C52" i="4"/>
  <c r="C61" i="4"/>
  <c r="C18" i="4"/>
  <c r="C29" i="4"/>
  <c r="C50" i="4"/>
  <c r="C34" i="4"/>
  <c r="C21" i="4"/>
  <c r="C58" i="4"/>
  <c r="C19" i="4"/>
  <c r="C15" i="4"/>
  <c r="C38" i="4"/>
  <c r="C33" i="4"/>
  <c r="C41" i="4"/>
  <c r="C53" i="4"/>
  <c r="C37" i="4"/>
  <c r="C49" i="4"/>
  <c r="C57" i="4"/>
  <c r="C51" i="4"/>
  <c r="C60" i="4"/>
  <c r="C54" i="4"/>
  <c r="C9" i="4"/>
  <c r="C8" i="4"/>
  <c r="B24" i="4"/>
  <c r="C32" i="4"/>
  <c r="C40" i="4"/>
  <c r="C36" i="4"/>
  <c r="C35" i="4"/>
  <c r="C27" i="4"/>
  <c r="C39" i="4"/>
  <c r="C44" i="4"/>
  <c r="C28" i="4"/>
  <c r="C31" i="4"/>
  <c r="G46" i="7" l="1"/>
  <c r="G77" i="7"/>
  <c r="G71" i="7"/>
  <c r="G79" i="7"/>
  <c r="G68" i="7"/>
  <c r="G74" i="7"/>
  <c r="G70" i="7"/>
  <c r="E46" i="7"/>
  <c r="E69" i="7"/>
  <c r="E73" i="7"/>
  <c r="E72" i="7"/>
  <c r="E80" i="7"/>
  <c r="E79" i="7"/>
  <c r="E78" i="7"/>
  <c r="E77" i="7"/>
  <c r="E74" i="7"/>
  <c r="E15" i="7"/>
  <c r="E71" i="7"/>
  <c r="G49" i="7"/>
  <c r="G78" i="7"/>
  <c r="G80" i="7"/>
  <c r="G47" i="7"/>
  <c r="D83" i="7"/>
  <c r="G61" i="7"/>
  <c r="G73" i="7"/>
  <c r="G72" i="7"/>
  <c r="D33" i="7"/>
  <c r="E33" i="7" s="1"/>
  <c r="E13" i="7"/>
  <c r="E59" i="7"/>
  <c r="G69" i="7"/>
  <c r="G68" i="16"/>
  <c r="F20" i="7"/>
  <c r="G13" i="7" s="1"/>
  <c r="E50" i="7"/>
  <c r="E51" i="7"/>
  <c r="E56" i="7"/>
  <c r="G43" i="7"/>
  <c r="G60" i="7"/>
  <c r="E57" i="7"/>
  <c r="E55" i="7"/>
  <c r="G53" i="7"/>
  <c r="G55" i="7"/>
  <c r="G51" i="7"/>
  <c r="E52" i="7"/>
  <c r="E47" i="7"/>
  <c r="G54" i="7"/>
  <c r="G63" i="7"/>
  <c r="E43" i="7"/>
  <c r="E53" i="7"/>
  <c r="G62" i="7"/>
  <c r="G44" i="7"/>
  <c r="E63" i="7"/>
  <c r="E61" i="7"/>
  <c r="E48" i="7"/>
  <c r="G48" i="7"/>
  <c r="G52" i="7"/>
  <c r="E49" i="7"/>
  <c r="E62" i="7"/>
  <c r="E58" i="7"/>
  <c r="G45" i="7"/>
  <c r="G73" i="16"/>
  <c r="G63" i="16"/>
  <c r="G51" i="16"/>
  <c r="G53" i="16"/>
  <c r="E76" i="16"/>
  <c r="E75" i="16"/>
  <c r="G78" i="16"/>
  <c r="G75" i="16"/>
  <c r="G71" i="16"/>
  <c r="G76" i="16"/>
  <c r="G43" i="16"/>
  <c r="E79" i="16"/>
  <c r="E72" i="16"/>
  <c r="G48" i="16"/>
  <c r="G52" i="16"/>
  <c r="E74" i="16"/>
  <c r="G50" i="16"/>
  <c r="G62" i="16"/>
  <c r="G54" i="16"/>
  <c r="K28" i="16"/>
  <c r="D33" i="16"/>
  <c r="E33" i="16" s="1"/>
  <c r="D83" i="16"/>
  <c r="E63" i="16"/>
  <c r="E56" i="16"/>
  <c r="E58" i="16"/>
  <c r="E14" i="16"/>
  <c r="E55" i="16"/>
  <c r="K10" i="7"/>
  <c r="E51" i="16"/>
  <c r="E54" i="16"/>
  <c r="E71" i="16"/>
  <c r="E61" i="16"/>
  <c r="K11" i="7"/>
  <c r="E46" i="16"/>
  <c r="G72" i="16"/>
  <c r="F20" i="16"/>
  <c r="G16" i="16" s="1"/>
  <c r="G74" i="16"/>
  <c r="G69" i="16"/>
  <c r="K12" i="7"/>
  <c r="E62" i="16"/>
  <c r="E50" i="16"/>
  <c r="E68" i="16"/>
  <c r="E78" i="16"/>
  <c r="E70" i="16"/>
  <c r="K9" i="7"/>
  <c r="G44" i="16"/>
  <c r="G45" i="16"/>
  <c r="G47" i="16"/>
  <c r="E59" i="16"/>
  <c r="G55" i="16"/>
  <c r="E53" i="16"/>
  <c r="E15" i="16"/>
  <c r="G77" i="16"/>
  <c r="E57" i="16"/>
  <c r="E73" i="16"/>
  <c r="E49" i="16"/>
  <c r="E48" i="16"/>
  <c r="F23" i="7"/>
  <c r="F31" i="7" s="1"/>
  <c r="G27" i="7" s="1"/>
  <c r="G70" i="16"/>
  <c r="E69" i="16"/>
  <c r="E43" i="16"/>
  <c r="E80" i="16"/>
  <c r="G80" i="16"/>
  <c r="G46" i="16"/>
  <c r="E47" i="16"/>
  <c r="G61" i="16"/>
  <c r="G60" i="16"/>
  <c r="C62" i="4"/>
  <c r="AM13" i="3"/>
  <c r="E40" i="7"/>
  <c r="G40" i="7"/>
  <c r="C10" i="5"/>
  <c r="G21" i="5"/>
  <c r="H13" i="5" s="1"/>
  <c r="H8" i="5"/>
  <c r="H9" i="5"/>
  <c r="H57" i="5"/>
  <c r="H41" i="5"/>
  <c r="H7" i="5"/>
  <c r="C23" i="5"/>
  <c r="B60" i="5"/>
  <c r="E10" i="5"/>
  <c r="D21" i="5"/>
  <c r="B64" i="4"/>
  <c r="C24" i="4"/>
  <c r="C46" i="4"/>
  <c r="C11" i="4"/>
  <c r="B56" i="3"/>
  <c r="AM56" i="3" s="1"/>
  <c r="B57" i="3"/>
  <c r="AM57" i="3" s="1"/>
  <c r="B58" i="3"/>
  <c r="AM58" i="3" s="1"/>
  <c r="B59" i="3"/>
  <c r="AM59" i="3" s="1"/>
  <c r="B60" i="3"/>
  <c r="AM60" i="3" s="1"/>
  <c r="B61" i="3"/>
  <c r="AM61" i="3" s="1"/>
  <c r="B62" i="3"/>
  <c r="AM62" i="3" s="1"/>
  <c r="B63" i="3"/>
  <c r="AM63" i="3" s="1"/>
  <c r="B64" i="3"/>
  <c r="AM64" i="3" s="1"/>
  <c r="B65" i="3"/>
  <c r="AM65" i="3" s="1"/>
  <c r="B66" i="3"/>
  <c r="AM66" i="3" s="1"/>
  <c r="B67" i="3"/>
  <c r="AM67" i="3" s="1"/>
  <c r="B68" i="3"/>
  <c r="AM68" i="3" s="1"/>
  <c r="B38" i="3"/>
  <c r="AM38" i="3" s="1"/>
  <c r="B39" i="3"/>
  <c r="AM39" i="3" s="1"/>
  <c r="B40" i="3"/>
  <c r="AM40" i="3" s="1"/>
  <c r="B41" i="3"/>
  <c r="AM41" i="3" s="1"/>
  <c r="B42" i="3"/>
  <c r="AM42" i="3" s="1"/>
  <c r="B43" i="3"/>
  <c r="AM43" i="3" s="1"/>
  <c r="B44" i="3"/>
  <c r="AM44" i="3" s="1"/>
  <c r="B45" i="3"/>
  <c r="AM45" i="3" s="1"/>
  <c r="B46" i="3"/>
  <c r="AM46" i="3" s="1"/>
  <c r="B47" i="3"/>
  <c r="AM47" i="3" s="1"/>
  <c r="B48" i="3"/>
  <c r="AM48" i="3" s="1"/>
  <c r="B49" i="3"/>
  <c r="AM49" i="3" s="1"/>
  <c r="B50" i="3"/>
  <c r="AM50" i="3" s="1"/>
  <c r="B51" i="3"/>
  <c r="AM51" i="3" s="1"/>
  <c r="B52" i="3"/>
  <c r="AM52" i="3" s="1"/>
  <c r="B37" i="3"/>
  <c r="AM37" i="3" s="1"/>
  <c r="B36" i="3"/>
  <c r="AM36" i="3" s="1"/>
  <c r="B22" i="3"/>
  <c r="AM22" i="3" s="1"/>
  <c r="B18" i="3"/>
  <c r="AM18" i="3" s="1"/>
  <c r="B19" i="3"/>
  <c r="AM19" i="3" s="1"/>
  <c r="B20" i="3"/>
  <c r="AM20" i="3" s="1"/>
  <c r="B23" i="3"/>
  <c r="AM23" i="3" s="1"/>
  <c r="G17" i="7" l="1"/>
  <c r="G16" i="7"/>
  <c r="G26" i="7"/>
  <c r="G17" i="16"/>
  <c r="G29" i="7"/>
  <c r="G13" i="16"/>
  <c r="G24" i="7"/>
  <c r="G25" i="7"/>
  <c r="G23" i="7"/>
  <c r="F33" i="7"/>
  <c r="G33" i="7" s="1"/>
  <c r="G28" i="7"/>
  <c r="K62" i="16"/>
  <c r="K50" i="16"/>
  <c r="K78" i="16"/>
  <c r="K70" i="16"/>
  <c r="K12" i="16"/>
  <c r="K61" i="16"/>
  <c r="K49" i="16"/>
  <c r="K77" i="16"/>
  <c r="K69" i="16"/>
  <c r="K9" i="16"/>
  <c r="B20" i="16"/>
  <c r="C10" i="16" s="1"/>
  <c r="K10" i="16"/>
  <c r="K30" i="16"/>
  <c r="K60" i="16"/>
  <c r="K48" i="16"/>
  <c r="K76" i="16"/>
  <c r="B81" i="16"/>
  <c r="C70" i="16" s="1"/>
  <c r="K68" i="16"/>
  <c r="K26" i="16"/>
  <c r="K25" i="16"/>
  <c r="K55" i="16"/>
  <c r="K47" i="16"/>
  <c r="K75" i="16"/>
  <c r="K11" i="16"/>
  <c r="K29" i="16"/>
  <c r="K54" i="16"/>
  <c r="K46" i="16"/>
  <c r="K74" i="16"/>
  <c r="F31" i="16"/>
  <c r="G23" i="16" s="1"/>
  <c r="K43" i="16"/>
  <c r="B64" i="16"/>
  <c r="C50" i="16" s="1"/>
  <c r="K53" i="16"/>
  <c r="K45" i="16"/>
  <c r="K73" i="16"/>
  <c r="K44" i="16"/>
  <c r="K52" i="16"/>
  <c r="K80" i="16"/>
  <c r="K72" i="16"/>
  <c r="F83" i="7"/>
  <c r="K27" i="16"/>
  <c r="K63" i="16"/>
  <c r="K51" i="16"/>
  <c r="K79" i="16"/>
  <c r="K71" i="16"/>
  <c r="G30" i="7"/>
  <c r="B20" i="7"/>
  <c r="C11" i="7" s="1"/>
  <c r="AK13" i="3"/>
  <c r="M13" i="3"/>
  <c r="G13" i="3"/>
  <c r="AC13" i="3"/>
  <c r="AI13" i="3"/>
  <c r="AN8" i="3"/>
  <c r="AN12" i="3"/>
  <c r="S13" i="3"/>
  <c r="Y13" i="3"/>
  <c r="Q13" i="3"/>
  <c r="AN9" i="3"/>
  <c r="AA13" i="3"/>
  <c r="AN10" i="3"/>
  <c r="W13" i="3"/>
  <c r="O13" i="3"/>
  <c r="I13" i="3"/>
  <c r="AN11" i="3"/>
  <c r="K13" i="3"/>
  <c r="AE13" i="3"/>
  <c r="AG13" i="3"/>
  <c r="AN33" i="3"/>
  <c r="U13" i="3"/>
  <c r="K25" i="7"/>
  <c r="K55" i="7"/>
  <c r="K47" i="7"/>
  <c r="K75" i="7"/>
  <c r="K29" i="7"/>
  <c r="K54" i="7"/>
  <c r="K46" i="7"/>
  <c r="K74" i="7"/>
  <c r="K53" i="7"/>
  <c r="K45" i="7"/>
  <c r="K73" i="7"/>
  <c r="K28" i="7"/>
  <c r="K44" i="7"/>
  <c r="K52" i="7"/>
  <c r="K80" i="7"/>
  <c r="K72" i="7"/>
  <c r="K30" i="7"/>
  <c r="K63" i="7"/>
  <c r="K51" i="7"/>
  <c r="K79" i="7"/>
  <c r="K71" i="7"/>
  <c r="K62" i="7"/>
  <c r="K50" i="7"/>
  <c r="K78" i="7"/>
  <c r="K70" i="7"/>
  <c r="K61" i="7"/>
  <c r="K49" i="7"/>
  <c r="K77" i="7"/>
  <c r="K69" i="7"/>
  <c r="K27" i="7"/>
  <c r="K60" i="7"/>
  <c r="K48" i="7"/>
  <c r="K76" i="7"/>
  <c r="C64" i="4"/>
  <c r="H10" i="5"/>
  <c r="E13" i="5"/>
  <c r="E21" i="5"/>
  <c r="D23" i="5"/>
  <c r="G23" i="5"/>
  <c r="H23" i="5" s="1"/>
  <c r="H15" i="5"/>
  <c r="H21" i="5"/>
  <c r="H17" i="5"/>
  <c r="H16" i="5"/>
  <c r="H20" i="5"/>
  <c r="H14" i="5"/>
  <c r="H18" i="5"/>
  <c r="H19" i="5"/>
  <c r="E14" i="5"/>
  <c r="E15" i="5"/>
  <c r="E19" i="5"/>
  <c r="E17" i="5"/>
  <c r="E18" i="5"/>
  <c r="E20" i="5"/>
  <c r="E16" i="5"/>
  <c r="B69" i="3"/>
  <c r="B53" i="3"/>
  <c r="B17" i="3"/>
  <c r="AM17" i="3" s="1"/>
  <c r="B16" i="3"/>
  <c r="AM16" i="3" s="1"/>
  <c r="C11" i="16" l="1"/>
  <c r="K20" i="7"/>
  <c r="L87" i="7" s="1"/>
  <c r="C9" i="7"/>
  <c r="C8" i="7"/>
  <c r="C51" i="16"/>
  <c r="C44" i="16"/>
  <c r="C12" i="7"/>
  <c r="C43" i="16"/>
  <c r="C45" i="16"/>
  <c r="C55" i="16"/>
  <c r="C10" i="7"/>
  <c r="C71" i="16"/>
  <c r="C53" i="16"/>
  <c r="K24" i="16"/>
  <c r="K81" i="16"/>
  <c r="L80" i="16" s="1"/>
  <c r="C77" i="16"/>
  <c r="G27" i="16"/>
  <c r="G25" i="16"/>
  <c r="G28" i="16"/>
  <c r="G30" i="16"/>
  <c r="G26" i="16"/>
  <c r="G29" i="16"/>
  <c r="G24" i="16"/>
  <c r="C49" i="16"/>
  <c r="C78" i="16"/>
  <c r="C79" i="16"/>
  <c r="C72" i="16"/>
  <c r="C74" i="16"/>
  <c r="C76" i="16"/>
  <c r="F33" i="16"/>
  <c r="G33" i="16" s="1"/>
  <c r="C48" i="16"/>
  <c r="C9" i="16"/>
  <c r="K20" i="16"/>
  <c r="C8" i="16"/>
  <c r="C61" i="16"/>
  <c r="C80" i="16"/>
  <c r="F83" i="16"/>
  <c r="C46" i="16"/>
  <c r="L61" i="16"/>
  <c r="L50" i="16"/>
  <c r="C63" i="16"/>
  <c r="C73" i="16"/>
  <c r="K64" i="16"/>
  <c r="L52" i="16" s="1"/>
  <c r="C75" i="16"/>
  <c r="C60" i="16"/>
  <c r="C69" i="16"/>
  <c r="C12" i="16"/>
  <c r="C62" i="16"/>
  <c r="K23" i="16"/>
  <c r="B31" i="16"/>
  <c r="C52" i="16"/>
  <c r="C54" i="16"/>
  <c r="C47" i="16"/>
  <c r="C68" i="16"/>
  <c r="C66" i="3"/>
  <c r="K26" i="7"/>
  <c r="AN13" i="3"/>
  <c r="K43" i="7"/>
  <c r="K64" i="7" s="1"/>
  <c r="L44" i="7" s="1"/>
  <c r="B64" i="7"/>
  <c r="C44" i="7" s="1"/>
  <c r="K68" i="7"/>
  <c r="K81" i="7" s="1"/>
  <c r="L80" i="7" s="1"/>
  <c r="B81" i="7"/>
  <c r="C75" i="7" s="1"/>
  <c r="AM69" i="3"/>
  <c r="AN69" i="3" s="1"/>
  <c r="K24" i="7"/>
  <c r="AM53" i="3"/>
  <c r="AN53" i="3" s="1"/>
  <c r="C42" i="3"/>
  <c r="E23" i="5"/>
  <c r="D60" i="5"/>
  <c r="C61" i="3"/>
  <c r="C38" i="3"/>
  <c r="C43" i="3"/>
  <c r="B24" i="3"/>
  <c r="C17" i="3" s="1"/>
  <c r="C46" i="3"/>
  <c r="C56" i="3"/>
  <c r="C51" i="3"/>
  <c r="C60" i="3"/>
  <c r="C64" i="3"/>
  <c r="C68" i="3"/>
  <c r="C36" i="3"/>
  <c r="C63" i="3"/>
  <c r="C41" i="3"/>
  <c r="C59" i="3"/>
  <c r="C45" i="3"/>
  <c r="C57" i="3"/>
  <c r="C40" i="3"/>
  <c r="C49" i="3"/>
  <c r="C67" i="3"/>
  <c r="C37" i="3"/>
  <c r="C62" i="3"/>
  <c r="C48" i="3"/>
  <c r="C65" i="3"/>
  <c r="C44" i="3"/>
  <c r="B13" i="3"/>
  <c r="C50" i="3"/>
  <c r="C39" i="3"/>
  <c r="C58" i="3"/>
  <c r="C52" i="3"/>
  <c r="C47" i="3"/>
  <c r="C20" i="7" l="1"/>
  <c r="G20" i="7"/>
  <c r="I20" i="7"/>
  <c r="L40" i="7"/>
  <c r="E20" i="7"/>
  <c r="L68" i="16"/>
  <c r="K31" i="16"/>
  <c r="G31" i="16" s="1"/>
  <c r="L73" i="16"/>
  <c r="L53" i="16"/>
  <c r="L48" i="16"/>
  <c r="L63" i="16"/>
  <c r="L46" i="16"/>
  <c r="L55" i="16"/>
  <c r="L69" i="16"/>
  <c r="L44" i="16"/>
  <c r="L51" i="16"/>
  <c r="L87" i="16"/>
  <c r="L40" i="16"/>
  <c r="I20" i="16"/>
  <c r="B52" i="8" s="1"/>
  <c r="C52" i="8" s="1"/>
  <c r="E20" i="16"/>
  <c r="B50" i="8" s="1"/>
  <c r="C50" i="8" s="1"/>
  <c r="G20" i="16"/>
  <c r="B51" i="8" s="1"/>
  <c r="C51" i="8" s="1"/>
  <c r="L70" i="16"/>
  <c r="L81" i="16"/>
  <c r="I81" i="16"/>
  <c r="E81" i="16"/>
  <c r="G81" i="16"/>
  <c r="L74" i="16"/>
  <c r="L79" i="16"/>
  <c r="L47" i="16"/>
  <c r="C28" i="16"/>
  <c r="C26" i="16"/>
  <c r="C25" i="16"/>
  <c r="C29" i="16"/>
  <c r="C27" i="16"/>
  <c r="C30" i="16"/>
  <c r="L77" i="16"/>
  <c r="L54" i="16"/>
  <c r="L60" i="16"/>
  <c r="C23" i="16"/>
  <c r="L43" i="16"/>
  <c r="L75" i="16"/>
  <c r="C20" i="16"/>
  <c r="B49" i="8" s="1"/>
  <c r="C49" i="8" s="1"/>
  <c r="L72" i="16"/>
  <c r="C81" i="16"/>
  <c r="L62" i="16"/>
  <c r="L64" i="16"/>
  <c r="L59" i="16"/>
  <c r="L57" i="16"/>
  <c r="L56" i="16"/>
  <c r="L58" i="16"/>
  <c r="G64" i="16"/>
  <c r="E64" i="16"/>
  <c r="B33" i="16"/>
  <c r="C33" i="16" s="1"/>
  <c r="L78" i="16"/>
  <c r="L45" i="16"/>
  <c r="C64" i="16"/>
  <c r="B83" i="16"/>
  <c r="L49" i="16"/>
  <c r="L76" i="16"/>
  <c r="L71" i="16"/>
  <c r="C24" i="16"/>
  <c r="C75" i="3"/>
  <c r="C13" i="3"/>
  <c r="C8" i="3"/>
  <c r="C9" i="3"/>
  <c r="C12" i="3"/>
  <c r="C11" i="3"/>
  <c r="C10" i="3"/>
  <c r="C69" i="3"/>
  <c r="C53" i="3"/>
  <c r="AN44" i="3"/>
  <c r="C74" i="7"/>
  <c r="C71" i="7"/>
  <c r="C78" i="7"/>
  <c r="AN57" i="3"/>
  <c r="C73" i="7"/>
  <c r="C79" i="7"/>
  <c r="C72" i="7"/>
  <c r="AM24" i="3"/>
  <c r="AN22" i="3" s="1"/>
  <c r="AN56" i="3"/>
  <c r="AN61" i="3"/>
  <c r="AN60" i="3"/>
  <c r="C50" i="7"/>
  <c r="C60" i="7"/>
  <c r="AN64" i="3"/>
  <c r="AN66" i="3"/>
  <c r="AN67" i="3"/>
  <c r="AN58" i="3"/>
  <c r="AN65" i="3"/>
  <c r="AN40" i="3"/>
  <c r="AN62" i="3"/>
  <c r="AN63" i="3"/>
  <c r="AN68" i="3"/>
  <c r="K23" i="7"/>
  <c r="K31" i="7" s="1"/>
  <c r="K33" i="7" s="1"/>
  <c r="L33" i="7" s="1"/>
  <c r="B31" i="7"/>
  <c r="C23" i="7" s="1"/>
  <c r="AN48" i="3"/>
  <c r="AN51" i="3"/>
  <c r="C55" i="7"/>
  <c r="AN37" i="3"/>
  <c r="AN36" i="3"/>
  <c r="C61" i="7"/>
  <c r="C45" i="7"/>
  <c r="AN46" i="3"/>
  <c r="AN43" i="3"/>
  <c r="C63" i="7"/>
  <c r="C51" i="7"/>
  <c r="C69" i="7"/>
  <c r="C77" i="7"/>
  <c r="C46" i="7"/>
  <c r="AN42" i="3"/>
  <c r="AN52" i="3"/>
  <c r="AN49" i="3"/>
  <c r="AN41" i="3"/>
  <c r="C47" i="7"/>
  <c r="C53" i="7"/>
  <c r="C68" i="7"/>
  <c r="C76" i="7"/>
  <c r="AN50" i="3"/>
  <c r="AN39" i="3"/>
  <c r="C52" i="7"/>
  <c r="AN45" i="3"/>
  <c r="C48" i="7"/>
  <c r="C43" i="7"/>
  <c r="C62" i="7"/>
  <c r="AN38" i="3"/>
  <c r="AN47" i="3"/>
  <c r="AN59" i="3"/>
  <c r="C49" i="7"/>
  <c r="C54" i="7"/>
  <c r="C70" i="7"/>
  <c r="C80" i="7"/>
  <c r="L69" i="7"/>
  <c r="L74" i="7"/>
  <c r="L78" i="7"/>
  <c r="L68" i="7"/>
  <c r="L76" i="7"/>
  <c r="L70" i="7"/>
  <c r="I81" i="7"/>
  <c r="G81" i="7"/>
  <c r="E81" i="7"/>
  <c r="L81" i="7"/>
  <c r="L73" i="7"/>
  <c r="L75" i="7"/>
  <c r="C81" i="7"/>
  <c r="L71" i="7"/>
  <c r="L79" i="7"/>
  <c r="L72" i="7"/>
  <c r="L77" i="7"/>
  <c r="L64" i="7"/>
  <c r="E64" i="7"/>
  <c r="G64" i="7"/>
  <c r="L57" i="7"/>
  <c r="L59" i="7"/>
  <c r="L58" i="7"/>
  <c r="L51" i="7"/>
  <c r="L43" i="7"/>
  <c r="L49" i="7"/>
  <c r="L60" i="7"/>
  <c r="L62" i="7"/>
  <c r="L54" i="7"/>
  <c r="L46" i="7"/>
  <c r="L48" i="7"/>
  <c r="L53" i="7"/>
  <c r="L47" i="7"/>
  <c r="L50" i="7"/>
  <c r="L56" i="7"/>
  <c r="L63" i="7"/>
  <c r="L52" i="7"/>
  <c r="L55" i="7"/>
  <c r="L45" i="7"/>
  <c r="L61" i="7"/>
  <c r="C64" i="7"/>
  <c r="G60" i="5"/>
  <c r="H60" i="5" s="1"/>
  <c r="D13" i="3"/>
  <c r="E75" i="3" s="1"/>
  <c r="B26" i="3"/>
  <c r="C23" i="3"/>
  <c r="C18" i="3"/>
  <c r="C21" i="3"/>
  <c r="C20" i="3"/>
  <c r="C19" i="3"/>
  <c r="C22" i="3"/>
  <c r="C16" i="3"/>
  <c r="L20" i="7" l="1"/>
  <c r="B49" i="19"/>
  <c r="H86" i="16" s="1"/>
  <c r="B49" i="6"/>
  <c r="B51" i="6" s="1"/>
  <c r="C49" i="6" s="1"/>
  <c r="B67" i="17"/>
  <c r="B69" i="17" s="1"/>
  <c r="B71" i="17" s="1"/>
  <c r="C71" i="17" s="1"/>
  <c r="B67" i="4"/>
  <c r="B69" i="4" s="1"/>
  <c r="B71" i="4" s="1"/>
  <c r="C71" i="4" s="1"/>
  <c r="Z74" i="15"/>
  <c r="AA74" i="15" s="1"/>
  <c r="AD74" i="15"/>
  <c r="AD76" i="15" s="1"/>
  <c r="AD78" i="15" s="1"/>
  <c r="D74" i="15"/>
  <c r="E74" i="15" s="1"/>
  <c r="AB74" i="3"/>
  <c r="AB76" i="3" s="1"/>
  <c r="AB78" i="3" s="1"/>
  <c r="V74" i="3"/>
  <c r="W74" i="3" s="1"/>
  <c r="AH74" i="3"/>
  <c r="AH76" i="3" s="1"/>
  <c r="AH78" i="3" s="1"/>
  <c r="H74" i="15"/>
  <c r="H76" i="15" s="1"/>
  <c r="H78" i="15" s="1"/>
  <c r="V74" i="15"/>
  <c r="W74" i="15" s="1"/>
  <c r="L74" i="3"/>
  <c r="M74" i="3" s="1"/>
  <c r="T74" i="3"/>
  <c r="U74" i="3" s="1"/>
  <c r="AJ74" i="3"/>
  <c r="AK74" i="3" s="1"/>
  <c r="B74" i="3"/>
  <c r="B76" i="3" s="1"/>
  <c r="AB74" i="15"/>
  <c r="AC74" i="15" s="1"/>
  <c r="J74" i="15"/>
  <c r="J76" i="15" s="1"/>
  <c r="J78" i="15" s="1"/>
  <c r="L74" i="15"/>
  <c r="L76" i="15" s="1"/>
  <c r="L78" i="15" s="1"/>
  <c r="Z74" i="3"/>
  <c r="Z76" i="3" s="1"/>
  <c r="Z78" i="3" s="1"/>
  <c r="R74" i="3"/>
  <c r="R76" i="3" s="1"/>
  <c r="R78" i="3" s="1"/>
  <c r="C53" i="8"/>
  <c r="AF74" i="15"/>
  <c r="AF76" i="15" s="1"/>
  <c r="AF78" i="15" s="1"/>
  <c r="N74" i="15"/>
  <c r="N76" i="15" s="1"/>
  <c r="N78" i="15" s="1"/>
  <c r="J74" i="3"/>
  <c r="J76" i="3" s="1"/>
  <c r="J78" i="3" s="1"/>
  <c r="AF74" i="3"/>
  <c r="AF76" i="3" s="1"/>
  <c r="AF78" i="3" s="1"/>
  <c r="B74" i="15"/>
  <c r="B76" i="15" s="1"/>
  <c r="B78" i="15" s="1"/>
  <c r="T74" i="15"/>
  <c r="T76" i="15" s="1"/>
  <c r="T78" i="15" s="1"/>
  <c r="X74" i="3"/>
  <c r="X76" i="3" s="1"/>
  <c r="X78" i="3" s="1"/>
  <c r="P74" i="3"/>
  <c r="P76" i="3" s="1"/>
  <c r="P78" i="3" s="1"/>
  <c r="P74" i="15"/>
  <c r="P76" i="15" s="1"/>
  <c r="P78" i="15" s="1"/>
  <c r="AH74" i="15"/>
  <c r="AH76" i="15" s="1"/>
  <c r="AH78" i="15" s="1"/>
  <c r="H74" i="3"/>
  <c r="I74" i="3" s="1"/>
  <c r="AD74" i="3"/>
  <c r="AE74" i="3" s="1"/>
  <c r="F74" i="15"/>
  <c r="F76" i="15" s="1"/>
  <c r="F78" i="15" s="1"/>
  <c r="R74" i="15"/>
  <c r="R76" i="15" s="1"/>
  <c r="R78" i="15" s="1"/>
  <c r="X74" i="15"/>
  <c r="Y74" i="15" s="1"/>
  <c r="AJ74" i="15"/>
  <c r="AK74" i="15" s="1"/>
  <c r="N74" i="3"/>
  <c r="O74" i="3" s="1"/>
  <c r="F74" i="3"/>
  <c r="G74" i="3" s="1"/>
  <c r="D63" i="18"/>
  <c r="D65" i="18" s="1"/>
  <c r="D67" i="18" s="1"/>
  <c r="E67" i="18" s="1"/>
  <c r="B63" i="18"/>
  <c r="B65" i="18" s="1"/>
  <c r="B67" i="18" s="1"/>
  <c r="D63" i="5"/>
  <c r="D65" i="5" s="1"/>
  <c r="D67" i="5" s="1"/>
  <c r="E67" i="5" s="1"/>
  <c r="B63" i="5"/>
  <c r="B65" i="5" s="1"/>
  <c r="B67" i="5" s="1"/>
  <c r="C67" i="5" s="1"/>
  <c r="B53" i="8"/>
  <c r="K33" i="16"/>
  <c r="L33" i="16" s="1"/>
  <c r="C31" i="16"/>
  <c r="E31" i="16"/>
  <c r="L31" i="16"/>
  <c r="L20" i="16"/>
  <c r="K83" i="16"/>
  <c r="C26" i="7"/>
  <c r="AN18" i="3"/>
  <c r="AN24" i="3"/>
  <c r="C28" i="7"/>
  <c r="AN16" i="3"/>
  <c r="L31" i="7"/>
  <c r="AN17" i="3"/>
  <c r="C24" i="7"/>
  <c r="E31" i="7"/>
  <c r="C31" i="7"/>
  <c r="AN20" i="3"/>
  <c r="AN23" i="3"/>
  <c r="AN19" i="3"/>
  <c r="C25" i="7"/>
  <c r="AN21" i="3"/>
  <c r="C30" i="7"/>
  <c r="B33" i="7"/>
  <c r="C33" i="7" s="1"/>
  <c r="B83" i="7"/>
  <c r="K83" i="7" s="1"/>
  <c r="C83" i="7" s="1"/>
  <c r="C27" i="7"/>
  <c r="C29" i="7"/>
  <c r="G31" i="7"/>
  <c r="E13" i="3"/>
  <c r="B71" i="3"/>
  <c r="C71" i="3" s="1"/>
  <c r="C26" i="3"/>
  <c r="D26" i="3"/>
  <c r="AM26" i="3" s="1"/>
  <c r="E8" i="3"/>
  <c r="E12" i="3"/>
  <c r="E10" i="3"/>
  <c r="E11" i="3"/>
  <c r="E9" i="3"/>
  <c r="C24" i="3"/>
  <c r="Z76" i="15" l="1"/>
  <c r="Z78" i="15" s="1"/>
  <c r="H76" i="3"/>
  <c r="H78" i="3" s="1"/>
  <c r="I74" i="15"/>
  <c r="D86" i="16"/>
  <c r="C74" i="15"/>
  <c r="U74" i="15"/>
  <c r="C69" i="4"/>
  <c r="D86" i="7"/>
  <c r="D88" i="7" s="1"/>
  <c r="E86" i="7" s="1"/>
  <c r="S74" i="15"/>
  <c r="AC74" i="3"/>
  <c r="G74" i="15"/>
  <c r="G63" i="5"/>
  <c r="G65" i="5" s="1"/>
  <c r="H63" i="5" s="1"/>
  <c r="M74" i="15"/>
  <c r="V76" i="15"/>
  <c r="V78" i="15" s="1"/>
  <c r="AA74" i="3"/>
  <c r="G67" i="5"/>
  <c r="H67" i="5" s="1"/>
  <c r="V76" i="3"/>
  <c r="V78" i="3" s="1"/>
  <c r="L76" i="3"/>
  <c r="L78" i="3" s="1"/>
  <c r="X76" i="15"/>
  <c r="X78" i="15" s="1"/>
  <c r="K74" i="3"/>
  <c r="S74" i="3"/>
  <c r="Y74" i="3"/>
  <c r="B51" i="19"/>
  <c r="C49" i="19" s="1"/>
  <c r="AM74" i="15"/>
  <c r="B86" i="16" s="1"/>
  <c r="C51" i="6"/>
  <c r="H86" i="7"/>
  <c r="H88" i="7" s="1"/>
  <c r="AG74" i="3"/>
  <c r="AJ76" i="15"/>
  <c r="AJ78" i="15" s="1"/>
  <c r="B53" i="6"/>
  <c r="C53" i="6" s="1"/>
  <c r="T76" i="3"/>
  <c r="T78" i="3" s="1"/>
  <c r="Q74" i="3"/>
  <c r="K74" i="15"/>
  <c r="AD76" i="3"/>
  <c r="AD78" i="3" s="1"/>
  <c r="AE74" i="15"/>
  <c r="AB76" i="15"/>
  <c r="AB78" i="15" s="1"/>
  <c r="C50" i="6"/>
  <c r="AI74" i="3"/>
  <c r="F76" i="3"/>
  <c r="F78" i="3" s="1"/>
  <c r="C74" i="3"/>
  <c r="O74" i="15"/>
  <c r="AI74" i="15"/>
  <c r="G63" i="18"/>
  <c r="G65" i="18" s="1"/>
  <c r="H64" i="18" s="1"/>
  <c r="N76" i="3"/>
  <c r="N78" i="3" s="1"/>
  <c r="D76" i="15"/>
  <c r="D78" i="15" s="1"/>
  <c r="AJ76" i="3"/>
  <c r="AJ78" i="3" s="1"/>
  <c r="C69" i="17"/>
  <c r="AG74" i="15"/>
  <c r="Q74" i="15"/>
  <c r="C67" i="18"/>
  <c r="G67" i="18"/>
  <c r="H67" i="18" s="1"/>
  <c r="H88" i="16"/>
  <c r="I86" i="16" s="1"/>
  <c r="D88" i="16"/>
  <c r="E86" i="16" s="1"/>
  <c r="L83" i="16"/>
  <c r="I83" i="16"/>
  <c r="E83" i="16"/>
  <c r="G83" i="16"/>
  <c r="C83" i="16"/>
  <c r="B78" i="3"/>
  <c r="D74" i="3"/>
  <c r="AM74" i="3" s="1"/>
  <c r="AN26" i="3"/>
  <c r="E83" i="7"/>
  <c r="G83" i="7"/>
  <c r="I83" i="7"/>
  <c r="L83" i="7"/>
  <c r="D71" i="3"/>
  <c r="AM71" i="3" s="1"/>
  <c r="E26" i="3"/>
  <c r="E87" i="7" l="1"/>
  <c r="D90" i="7"/>
  <c r="F86" i="7"/>
  <c r="F88" i="7" s="1"/>
  <c r="G86" i="7" s="1"/>
  <c r="AM78" i="15"/>
  <c r="AN78" i="15" s="1"/>
  <c r="AM76" i="15"/>
  <c r="AN74" i="15" s="1"/>
  <c r="B86" i="7"/>
  <c r="K86" i="7" s="1"/>
  <c r="C51" i="19"/>
  <c r="C50" i="19"/>
  <c r="B53" i="19"/>
  <c r="C53" i="19" s="1"/>
  <c r="H90" i="7"/>
  <c r="I87" i="7"/>
  <c r="I86" i="7"/>
  <c r="F86" i="16"/>
  <c r="F88" i="16" s="1"/>
  <c r="G86" i="16" s="1"/>
  <c r="H63" i="18"/>
  <c r="H65" i="18"/>
  <c r="E87" i="16"/>
  <c r="D90" i="16"/>
  <c r="I87" i="16"/>
  <c r="H90" i="16"/>
  <c r="H65" i="5"/>
  <c r="H64" i="5"/>
  <c r="AM76" i="3"/>
  <c r="AN74" i="3" s="1"/>
  <c r="E74" i="3"/>
  <c r="D76" i="3"/>
  <c r="D78" i="3" s="1"/>
  <c r="AM78" i="3" s="1"/>
  <c r="AN71" i="3"/>
  <c r="AN76" i="15" l="1"/>
  <c r="F90" i="7"/>
  <c r="G87" i="7"/>
  <c r="AN75" i="15"/>
  <c r="B88" i="16"/>
  <c r="K86" i="16"/>
  <c r="B88" i="7"/>
  <c r="C86" i="7" s="1"/>
  <c r="G87" i="16"/>
  <c r="F90" i="16"/>
  <c r="AN76" i="3"/>
  <c r="AN75" i="3"/>
  <c r="AN78" i="3"/>
  <c r="K88" i="7"/>
  <c r="L86" i="7"/>
  <c r="C88" i="7" l="1"/>
  <c r="B90" i="7"/>
  <c r="K90" i="7" s="1"/>
  <c r="C39" i="11" s="1"/>
  <c r="C87" i="7"/>
  <c r="K88" i="16"/>
  <c r="C88" i="16" s="1"/>
  <c r="L86" i="16"/>
  <c r="C87" i="16"/>
  <c r="B90" i="16"/>
  <c r="C86" i="16"/>
  <c r="L88" i="7"/>
  <c r="E88" i="7"/>
  <c r="I88" i="7"/>
  <c r="G88" i="7"/>
  <c r="K90" i="16" l="1"/>
  <c r="C90" i="16" s="1"/>
  <c r="L88" i="16"/>
  <c r="I88" i="16"/>
  <c r="E88" i="16"/>
  <c r="G88" i="16"/>
  <c r="C90" i="7"/>
  <c r="C42" i="11"/>
  <c r="E90" i="7"/>
  <c r="L90" i="7"/>
  <c r="I90" i="7"/>
  <c r="G90" i="7"/>
  <c r="E90" i="16" l="1"/>
  <c r="L90" i="16"/>
  <c r="I90" i="16"/>
  <c r="G90" i="16"/>
  <c r="D39" i="11"/>
  <c r="D4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8B99D1-3469-4F60-BC41-0D2DF22F9DD4}" sourceFile="C:\MEGASync\Uso_Red\Edo_Resultados\2023\5.May\caja_app.accdb" keepAlive="1" name="caja_app" type="5" refreshedVersion="8" background="1" refreshOnLoad="1" saveData="1">
    <dbPr connection="Provider=Microsoft.ACE.OLEDB.12.0;User ID=Admin;Data Source=C:\MEGASync\Uso_Red\Edo_Resultados\2023\5.May\caja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  <connection id="2" xr16:uid="{CD89E29E-45F0-4E81-9D09-572FB1700FFD}" sourceFile="C:\MEGASync\Uso_Red\Edo_Resultados\2023\5.May\financiero_app.accdb" keepAlive="1" name="financiero_app" type="5" refreshedVersion="8" background="1" refreshOnLoad="1" saveData="1">
    <dbPr connection="Provider=Microsoft.ACE.OLEDB.12.0;User ID=Admin;Data Source=C:\MEGASync\Uso_Red\Edo_Resultados\2023\5.May\financiero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" commandType="3"/>
  </connection>
  <connection id="3" xr16:uid="{3AD1DA7B-33B9-47C9-BFB2-AEA459CF36C1}" sourceFile="C:\MEGASync\Uso_Red\Edo_Resultados\2023\Templates\MAYO23\Registro de movimientos_app.accdb" keepAlive="1" name="Registro de movimientos_app" type="5" refreshedVersion="8" background="1" refreshOnLoad="1" saveData="1">
    <dbPr connection="Provider=Microsoft.ACE.OLEDB.12.0;User ID=Admin;Data Source=C:\MEGASync\Uso_Red\Edo_Resultados\2023\Templates\MAYO23\Registro de movimientos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</connections>
</file>

<file path=xl/sharedStrings.xml><?xml version="1.0" encoding="utf-8"?>
<sst xmlns="http://schemas.openxmlformats.org/spreadsheetml/2006/main" count="936" uniqueCount="253">
  <si>
    <t>Id</t>
  </si>
  <si>
    <t>Fecha</t>
  </si>
  <si>
    <t>Sucursal</t>
  </si>
  <si>
    <t>Tipo de movimiento</t>
  </si>
  <si>
    <t>Importe_Ingreso</t>
  </si>
  <si>
    <t>Importe_Costo</t>
  </si>
  <si>
    <t>Importe_Gasto</t>
  </si>
  <si>
    <t>Importe_Inversion</t>
  </si>
  <si>
    <t>Importe_Inventario_I</t>
  </si>
  <si>
    <t>Importe_Inventario_F</t>
  </si>
  <si>
    <t>Total general</t>
  </si>
  <si>
    <t>Detalle de movimiento</t>
  </si>
  <si>
    <t>Recoleccion Basura</t>
  </si>
  <si>
    <t>Suma de Total</t>
  </si>
  <si>
    <t xml:space="preserve"> Importe Costo</t>
  </si>
  <si>
    <t>Importe Ingreso</t>
  </si>
  <si>
    <t>Importe Gasto</t>
  </si>
  <si>
    <t>Importe Inversion</t>
  </si>
  <si>
    <t>Importe Inventario_I</t>
  </si>
  <si>
    <t>Importe Inventario_F</t>
  </si>
  <si>
    <t>Almacen</t>
  </si>
  <si>
    <t>Compras Directas a Proveedor</t>
  </si>
  <si>
    <t>Ventas a Franquicias</t>
  </si>
  <si>
    <t>Produccion Helados</t>
  </si>
  <si>
    <t>Inventario Inicial</t>
  </si>
  <si>
    <t>Inventario Final</t>
  </si>
  <si>
    <t>Energía</t>
  </si>
  <si>
    <t>Traspasos Internos</t>
  </si>
  <si>
    <t>Telefonos e Internet</t>
  </si>
  <si>
    <t>Traspasos de Almacen</t>
  </si>
  <si>
    <t>Renta de local</t>
  </si>
  <si>
    <t>GRUPO FRUYOG SA DE CV</t>
  </si>
  <si>
    <t>ESTADO DE RESUTADOS OPERATIVO</t>
  </si>
  <si>
    <t>SUCURSALES</t>
  </si>
  <si>
    <t>REPUBLICA</t>
  </si>
  <si>
    <t>Ingresos</t>
  </si>
  <si>
    <t>$</t>
  </si>
  <si>
    <t>%</t>
  </si>
  <si>
    <t>Total de Ingresos</t>
  </si>
  <si>
    <t>Gastos Directos Sucursales</t>
  </si>
  <si>
    <t>Publicidad de Plaza</t>
  </si>
  <si>
    <t>Agua</t>
  </si>
  <si>
    <t>Gas</t>
  </si>
  <si>
    <t>Fumigaciones</t>
  </si>
  <si>
    <t>Celulares</t>
  </si>
  <si>
    <t>Mantenimiento equipo</t>
  </si>
  <si>
    <t>Mantenimiento edificio</t>
  </si>
  <si>
    <t>Publicidad y Propaganda</t>
  </si>
  <si>
    <t>Seguros</t>
  </si>
  <si>
    <t>Fletes</t>
  </si>
  <si>
    <t>Gastos Generales</t>
  </si>
  <si>
    <t>Suma Gastos Directos Sucursales</t>
  </si>
  <si>
    <t>Camaras</t>
  </si>
  <si>
    <t>Costo de Ventas</t>
  </si>
  <si>
    <t>Compras menores de productos</t>
  </si>
  <si>
    <t>Traspasos de Produccion</t>
  </si>
  <si>
    <t>Variacion vs Std</t>
  </si>
  <si>
    <t>Mermas</t>
  </si>
  <si>
    <t>Costo de Materiales</t>
  </si>
  <si>
    <t>MARGEN BRUTO</t>
  </si>
  <si>
    <t>Cargo por Comisiones</t>
  </si>
  <si>
    <t>Suma Cargos por Comisiones</t>
  </si>
  <si>
    <t>Sueldos y Salarios</t>
  </si>
  <si>
    <t>IMSS</t>
  </si>
  <si>
    <t>Infonavit</t>
  </si>
  <si>
    <t>Comisiones</t>
  </si>
  <si>
    <t>3% Nominas</t>
  </si>
  <si>
    <t>Bonos</t>
  </si>
  <si>
    <t>Finiquitos</t>
  </si>
  <si>
    <t>Retiro</t>
  </si>
  <si>
    <t>Prestamos</t>
  </si>
  <si>
    <t>Vacaciones</t>
  </si>
  <si>
    <t>Prima Vacaciones</t>
  </si>
  <si>
    <t>Aguinaldo</t>
  </si>
  <si>
    <t>Otras prestaciones</t>
  </si>
  <si>
    <t>Suma Sueldos y Salarios</t>
  </si>
  <si>
    <t>Utilidad o Perdida Operativa  (antes Extraordinarios)</t>
  </si>
  <si>
    <t>Redistribucion Gastos Matriz</t>
  </si>
  <si>
    <t>Impuestos</t>
  </si>
  <si>
    <t>Suma Gastos Extraordinarios</t>
  </si>
  <si>
    <t>RESULTADO NETO</t>
  </si>
  <si>
    <t>Pagos por Aplicar</t>
  </si>
  <si>
    <t>Suma por Aplicar</t>
  </si>
  <si>
    <t>CADEREYTA</t>
  </si>
  <si>
    <t>Puentes</t>
  </si>
  <si>
    <t>Sueldos</t>
  </si>
  <si>
    <t>Ventas Publico en General (Efectivo)</t>
  </si>
  <si>
    <t>Ventas Publico en General (Tarjetas)</t>
  </si>
  <si>
    <t>Ventas Publico en General (Uber)</t>
  </si>
  <si>
    <t>Ventas Publico en General (Didi)</t>
  </si>
  <si>
    <t>Ventas Publico en General (Rappi)</t>
  </si>
  <si>
    <t>ALMACEN</t>
  </si>
  <si>
    <t>Ventas al Público</t>
  </si>
  <si>
    <t>Gasolina, casetas, estacionamiento</t>
  </si>
  <si>
    <t xml:space="preserve">Sueldos </t>
  </si>
  <si>
    <t>Utilidad o Perdida Operativa (antes Extraordinarios)</t>
  </si>
  <si>
    <t>Gastos Extraordinarios</t>
  </si>
  <si>
    <t>PRODUCCION</t>
  </si>
  <si>
    <t>Traspasos Nieve</t>
  </si>
  <si>
    <t>Prueba de Productos</t>
  </si>
  <si>
    <t xml:space="preserve">FRANQUICIAS </t>
  </si>
  <si>
    <t>Ingresos  Franquicias</t>
  </si>
  <si>
    <t>Financiamientos</t>
  </si>
  <si>
    <t>Suma Ingresos Franquicias</t>
  </si>
  <si>
    <t>Gastos Directos Franquicias</t>
  </si>
  <si>
    <t>Rentas y Servicios</t>
  </si>
  <si>
    <t>Productos de limpieza</t>
  </si>
  <si>
    <t>Otros gastos</t>
  </si>
  <si>
    <t>Franquicias</t>
  </si>
  <si>
    <t>Regalias</t>
  </si>
  <si>
    <t>FRUTAL YOGURT</t>
  </si>
  <si>
    <t>ALMACÉN</t>
  </si>
  <si>
    <t>PRODUCCIÓN</t>
  </si>
  <si>
    <t>FRANQUICIA</t>
  </si>
  <si>
    <t xml:space="preserve">Gastos Directos </t>
  </si>
  <si>
    <t>Mantto. Plaza</t>
  </si>
  <si>
    <t xml:space="preserve">Suma Gastos Directos </t>
  </si>
  <si>
    <t>STA CATARINA</t>
  </si>
  <si>
    <t>Comision TPV</t>
  </si>
  <si>
    <t>Comision Uber</t>
  </si>
  <si>
    <t>Comision Didi</t>
  </si>
  <si>
    <t>Comision Rappi</t>
  </si>
  <si>
    <t>S.Apodaca</t>
  </si>
  <si>
    <t>T. Apodaca</t>
  </si>
  <si>
    <t>Walmart</t>
  </si>
  <si>
    <t>M. Berneses</t>
  </si>
  <si>
    <t>San Roque</t>
  </si>
  <si>
    <t>La Puerta</t>
  </si>
  <si>
    <t>Mitras</t>
  </si>
  <si>
    <t>Mantenimiento Plaza</t>
  </si>
  <si>
    <t>Comisión TPV</t>
  </si>
  <si>
    <t>Comisión Uber</t>
  </si>
  <si>
    <t>Comisión Didi</t>
  </si>
  <si>
    <t>Comisión Rappid</t>
  </si>
  <si>
    <t>Mantenimiento vehiculos</t>
  </si>
  <si>
    <t>Poliza de seguros vehiculos</t>
  </si>
  <si>
    <t>Refrendos vehiculos</t>
  </si>
  <si>
    <t>MATRIZ</t>
  </si>
  <si>
    <t>Gastos Directos Matriz</t>
  </si>
  <si>
    <t>Renta de Oficinas</t>
  </si>
  <si>
    <t>Limpieza de oficinas</t>
  </si>
  <si>
    <t>Suma Gastos Directos Matriz</t>
  </si>
  <si>
    <t>Uniformes</t>
  </si>
  <si>
    <t>Contador Fiscalista</t>
  </si>
  <si>
    <t>Abogado Laboral</t>
  </si>
  <si>
    <t>Abogado legal</t>
  </si>
  <si>
    <t>Suma Sueldos y Salarios Matriz</t>
  </si>
  <si>
    <t>Total de Gastos Matriz</t>
  </si>
  <si>
    <t>DISPERSIÓN OFICINAS</t>
  </si>
  <si>
    <t>sucursal</t>
  </si>
  <si>
    <t>almacén</t>
  </si>
  <si>
    <t>producción</t>
  </si>
  <si>
    <t>franquicia</t>
  </si>
  <si>
    <t>Oficina</t>
  </si>
  <si>
    <t>FINANCIEROS Y DESARROLLO</t>
  </si>
  <si>
    <t>Ingresos  Crédito (banco)</t>
  </si>
  <si>
    <t>Suma Ingresos Créditos</t>
  </si>
  <si>
    <t>Ingresos para el Desarrollo de Marca</t>
  </si>
  <si>
    <t>Venta de Franquicias</t>
  </si>
  <si>
    <t>Venta de Licencias</t>
  </si>
  <si>
    <t>Venta de Sucursales</t>
  </si>
  <si>
    <t>Suma Ingresos Desarrollo</t>
  </si>
  <si>
    <t>Pago créditos Bancos</t>
  </si>
  <si>
    <t>Suma Pagos Céditos</t>
  </si>
  <si>
    <t>Nuevas Inversiones</t>
  </si>
  <si>
    <t>Equipo adicional</t>
  </si>
  <si>
    <t>Publicidad para Desarrollo</t>
  </si>
  <si>
    <t>Suma Inversión y Remodelaciones</t>
  </si>
  <si>
    <t xml:space="preserve">Remodelaciones y Equipo </t>
  </si>
  <si>
    <t>Equipo nuevo</t>
  </si>
  <si>
    <t>Importe_Egreso</t>
  </si>
  <si>
    <t>Interes credito hipotecario</t>
  </si>
  <si>
    <t>Financiero</t>
  </si>
  <si>
    <t>Ingreso Credito banco a</t>
  </si>
  <si>
    <t>Ingreso Credito banco b</t>
  </si>
  <si>
    <t>Ingreso Credito banco c</t>
  </si>
  <si>
    <t>Remodelaciones adicionales</t>
  </si>
  <si>
    <t>Pago capital credito Hipotecario</t>
  </si>
  <si>
    <t>Ingresos Credito hipotecario b</t>
  </si>
  <si>
    <t>Pago capital credito Bancario (a)</t>
  </si>
  <si>
    <t>Pago capital credito Bancario (b)</t>
  </si>
  <si>
    <t>Ingresos Credito hipotecario a</t>
  </si>
  <si>
    <t>Pago capital credito Bancario ( c )</t>
  </si>
  <si>
    <t>Interes credito Bancario (a)</t>
  </si>
  <si>
    <t>Interes credito Bancario (b)</t>
  </si>
  <si>
    <t>Interes credito Bancario ( c )</t>
  </si>
  <si>
    <t>Otros prestamos</t>
  </si>
  <si>
    <t>Remodelaciones</t>
  </si>
  <si>
    <t>Inversion nueva Sucursal (a)</t>
  </si>
  <si>
    <t>Inversion nueva Sucursal (b)</t>
  </si>
  <si>
    <t>Inversion nueva Sucursal ( c )</t>
  </si>
  <si>
    <t>Inversion nueva Sucursal (d)</t>
  </si>
  <si>
    <t>Flujo de Caja</t>
  </si>
  <si>
    <t>TOTAL SALDO INICIAL</t>
  </si>
  <si>
    <t>Total Egresos</t>
  </si>
  <si>
    <t>Saldo Inicial efectivo</t>
  </si>
  <si>
    <t>Saldo Inicial Bancos</t>
  </si>
  <si>
    <t>Total Ingresos</t>
  </si>
  <si>
    <t>Diferencia Efectivo vs RESULTADOS</t>
  </si>
  <si>
    <t>Diferencia Bancos vs RESULTADOS</t>
  </si>
  <si>
    <t>Importe_Egresos</t>
  </si>
  <si>
    <t>Importe_Saldo_I</t>
  </si>
  <si>
    <t>Importe_Saldo_F</t>
  </si>
  <si>
    <t>Informacion adicional</t>
  </si>
  <si>
    <t>Estado</t>
  </si>
  <si>
    <t>Comprobado</t>
  </si>
  <si>
    <t>Saldo Final Banco</t>
  </si>
  <si>
    <t>Saldo Inicial Banco</t>
  </si>
  <si>
    <t>Saldo Inicial Efectivo</t>
  </si>
  <si>
    <t>Ingreso Efectivo</t>
  </si>
  <si>
    <t>Ingreso Banco</t>
  </si>
  <si>
    <t>Egreso efectivo</t>
  </si>
  <si>
    <t>Egreso Banco</t>
  </si>
  <si>
    <t>Saldo Final efectivo</t>
  </si>
  <si>
    <t>Saldo Final efectivo real</t>
  </si>
  <si>
    <t>Saldo Final Banco real</t>
  </si>
  <si>
    <t>Saldo Final efectivo teorico</t>
  </si>
  <si>
    <t>Saldo Final Banco teorico</t>
  </si>
  <si>
    <t>Diferencia Teorico Vs Real Efectivo</t>
  </si>
  <si>
    <t>Diferencia Teorico Vs Real Banco</t>
  </si>
  <si>
    <t>Total Saldo Final Teorico</t>
  </si>
  <si>
    <t>Total Saldo Final Real</t>
  </si>
  <si>
    <t>Total Diferencia</t>
  </si>
  <si>
    <t>Saldo Final Real vs Resultados</t>
  </si>
  <si>
    <t>Informacion Adicional</t>
  </si>
  <si>
    <t>Ventas Publico en General</t>
  </si>
  <si>
    <t>Escobedo</t>
  </si>
  <si>
    <t>Vellania</t>
  </si>
  <si>
    <t>Sendero LaFe</t>
  </si>
  <si>
    <t>Produccion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</si>
  <si>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</si>
  <si>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</si>
  <si>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</si>
  <si>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</si>
  <si>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</si>
  <si>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</si>
  <si>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</si>
  <si>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</si>
  <si>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Multiplaza</t>
  </si>
  <si>
    <t>S.Apodaca 3</t>
  </si>
  <si>
    <t>San Jeronimo</t>
  </si>
  <si>
    <t>Merco Santa Elena</t>
  </si>
  <si>
    <t>(en blanco)</t>
  </si>
  <si>
    <t>/Importe_Ingreso</t>
  </si>
  <si>
    <t>/ Importe_Egresos</t>
  </si>
  <si>
    <t>MAYO</t>
  </si>
  <si>
    <t>Cadereyta</t>
  </si>
  <si>
    <t>Ingreso</t>
  </si>
  <si>
    <t>123</t>
  </si>
  <si>
    <t>432</t>
  </si>
  <si>
    <t>Gastos</t>
  </si>
  <si>
    <t>04/05/2023 - 10/05/2023</t>
  </si>
  <si>
    <t>11/05/2023 - 12/05/2023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</si>
</sst>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0.0%"/>
    <numFmt numFmtId="166" formatCode="#,##0.00_ ;[Red]\-#,##0.00\ "/>
    <numFmt numFmtId="167" formatCode="_-[$$-80A]* #,##0.00_-;\-[$$-80A]* #,##0.00_-;_-[$$-80A]* &quot;-&quot;??_-;_-@_-"/>
    <numFmt numFmtId="168" formatCode="_-&quot;$&quot;* #,##0_-;\-&quot;$&quot;* #,##0_-;_-&quot;$&quot;* &quot;-&quot;??_-;_-@_-"/>
  </numFmts>
  <fonts count="3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rgb="FF000000"/>
      <name val="Abadi"/>
      <family val="2"/>
    </font>
    <font>
      <b/>
      <sz val="9"/>
      <color rgb="FFFFFFFF"/>
      <name val="Calibri"/>
      <family val="2"/>
      <scheme val="minor"/>
    </font>
    <font>
      <b/>
      <u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u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FFFFFF"/>
      <name val="Abadi"/>
      <family val="2"/>
    </font>
    <font>
      <b/>
      <sz val="11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Abadi"/>
      <family val="2"/>
    </font>
    <font>
      <b/>
      <sz val="9"/>
      <color theme="1"/>
      <name val="Abadi"/>
      <family val="2"/>
    </font>
    <font>
      <b/>
      <sz val="9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33CC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44546A"/>
        <bgColor rgb="FF000000"/>
      </patternFill>
    </fill>
    <fill>
      <patternFill patternType="solid">
        <fgColor rgb="FFB28BFF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FFFF66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660066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28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3" xfId="0" applyNumberFormat="1" applyBorder="1"/>
    <xf numFmtId="9" fontId="0" fillId="0" borderId="0" xfId="1" applyFont="1"/>
    <xf numFmtId="0" fontId="7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8" fillId="3" borderId="0" xfId="0" applyFont="1" applyFill="1" applyAlignment="1">
      <alignment horizontal="left"/>
    </xf>
    <xf numFmtId="0" fontId="10" fillId="0" borderId="0" xfId="0" applyFont="1"/>
    <xf numFmtId="0" fontId="11" fillId="0" borderId="5" xfId="0" applyFont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4" fontId="3" fillId="0" borderId="0" xfId="0" applyNumberFormat="1" applyFont="1"/>
    <xf numFmtId="10" fontId="3" fillId="0" borderId="0" xfId="0" applyNumberFormat="1" applyFont="1" applyAlignment="1">
      <alignment horizontal="center"/>
    </xf>
    <xf numFmtId="0" fontId="7" fillId="0" borderId="1" xfId="0" applyFont="1" applyBorder="1" applyAlignment="1">
      <alignment vertical="center"/>
    </xf>
    <xf numFmtId="4" fontId="11" fillId="0" borderId="1" xfId="0" applyNumberFormat="1" applyFont="1" applyBorder="1"/>
    <xf numFmtId="10" fontId="11" fillId="0" borderId="1" xfId="0" applyNumberFormat="1" applyFont="1" applyBorder="1" applyAlignment="1">
      <alignment horizontal="center"/>
    </xf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/>
    <xf numFmtId="0" fontId="7" fillId="0" borderId="1" xfId="0" applyFont="1" applyBorder="1"/>
    <xf numFmtId="0" fontId="7" fillId="4" borderId="1" xfId="0" applyFont="1" applyFill="1" applyBorder="1" applyAlignment="1">
      <alignment horizontal="left" vertical="center"/>
    </xf>
    <xf numFmtId="10" fontId="11" fillId="4" borderId="1" xfId="0" applyNumberFormat="1" applyFont="1" applyFill="1" applyBorder="1" applyAlignment="1">
      <alignment horizontal="center" vertical="center"/>
    </xf>
    <xf numFmtId="0" fontId="8" fillId="5" borderId="0" xfId="0" applyFont="1" applyFill="1" applyAlignment="1">
      <alignment horizontal="left"/>
    </xf>
    <xf numFmtId="8" fontId="11" fillId="5" borderId="0" xfId="0" applyNumberFormat="1" applyFont="1" applyFill="1"/>
    <xf numFmtId="10" fontId="11" fillId="5" borderId="0" xfId="0" applyNumberFormat="1" applyFont="1" applyFill="1" applyAlignment="1">
      <alignment horizontal="center"/>
    </xf>
    <xf numFmtId="0" fontId="11" fillId="0" borderId="1" xfId="0" applyFont="1" applyBorder="1"/>
    <xf numFmtId="0" fontId="11" fillId="6" borderId="5" xfId="0" applyFont="1" applyFill="1" applyBorder="1" applyAlignment="1">
      <alignment horizontal="center"/>
    </xf>
    <xf numFmtId="4" fontId="3" fillId="6" borderId="0" xfId="0" applyNumberFormat="1" applyFont="1" applyFill="1"/>
    <xf numFmtId="9" fontId="3" fillId="6" borderId="0" xfId="0" applyNumberFormat="1" applyFont="1" applyFill="1" applyAlignment="1">
      <alignment horizontal="center"/>
    </xf>
    <xf numFmtId="4" fontId="11" fillId="6" borderId="1" xfId="0" applyNumberFormat="1" applyFont="1" applyFill="1" applyBorder="1"/>
    <xf numFmtId="10" fontId="11" fillId="6" borderId="1" xfId="0" applyNumberFormat="1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10" fontId="3" fillId="6" borderId="0" xfId="0" applyNumberFormat="1" applyFont="1" applyFill="1" applyAlignment="1">
      <alignment horizontal="center"/>
    </xf>
    <xf numFmtId="0" fontId="7" fillId="4" borderId="1" xfId="0" applyFont="1" applyFill="1" applyBorder="1" applyAlignment="1">
      <alignment vertical="center"/>
    </xf>
    <xf numFmtId="8" fontId="11" fillId="4" borderId="1" xfId="0" applyNumberFormat="1" applyFont="1" applyFill="1" applyBorder="1" applyAlignment="1">
      <alignment vertical="center"/>
    </xf>
    <xf numFmtId="10" fontId="15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6" fillId="0" borderId="0" xfId="0" applyFont="1"/>
    <xf numFmtId="10" fontId="15" fillId="5" borderId="0" xfId="0" applyNumberFormat="1" applyFont="1" applyFill="1" applyAlignment="1">
      <alignment horizontal="center"/>
    </xf>
    <xf numFmtId="9" fontId="3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8" fontId="0" fillId="0" borderId="0" xfId="0" applyNumberFormat="1"/>
    <xf numFmtId="0" fontId="12" fillId="0" borderId="0" xfId="0" applyFont="1"/>
    <xf numFmtId="9" fontId="3" fillId="0" borderId="0" xfId="0" applyNumberFormat="1" applyFont="1" applyAlignment="1">
      <alignment horizontal="center"/>
    </xf>
    <xf numFmtId="9" fontId="11" fillId="0" borderId="1" xfId="0" applyNumberFormat="1" applyFont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8" fontId="15" fillId="7" borderId="1" xfId="0" applyNumberFormat="1" applyFont="1" applyFill="1" applyBorder="1" applyAlignment="1">
      <alignment vertical="center"/>
    </xf>
    <xf numFmtId="10" fontId="15" fillId="7" borderId="1" xfId="0" applyNumberFormat="1" applyFont="1" applyFill="1" applyBorder="1" applyAlignment="1">
      <alignment horizontal="center" vertical="center"/>
    </xf>
    <xf numFmtId="8" fontId="15" fillId="5" borderId="0" xfId="0" applyNumberFormat="1" applyFont="1" applyFill="1"/>
    <xf numFmtId="0" fontId="17" fillId="8" borderId="0" xfId="0" applyFont="1" applyFill="1" applyAlignment="1">
      <alignment horizontal="left"/>
    </xf>
    <xf numFmtId="0" fontId="11" fillId="4" borderId="5" xfId="0" applyFont="1" applyFill="1" applyBorder="1" applyAlignment="1">
      <alignment horizontal="center"/>
    </xf>
    <xf numFmtId="4" fontId="11" fillId="4" borderId="1" xfId="0" applyNumberFormat="1" applyFont="1" applyFill="1" applyBorder="1"/>
    <xf numFmtId="10" fontId="11" fillId="4" borderId="1" xfId="0" applyNumberFormat="1" applyFont="1" applyFill="1" applyBorder="1" applyAlignment="1">
      <alignment horizontal="center"/>
    </xf>
    <xf numFmtId="0" fontId="7" fillId="6" borderId="1" xfId="0" applyFont="1" applyFill="1" applyBorder="1"/>
    <xf numFmtId="0" fontId="7" fillId="7" borderId="0" xfId="0" applyFont="1" applyFill="1"/>
    <xf numFmtId="8" fontId="11" fillId="7" borderId="0" xfId="0" applyNumberFormat="1" applyFont="1" applyFill="1"/>
    <xf numFmtId="10" fontId="11" fillId="7" borderId="0" xfId="0" applyNumberFormat="1" applyFont="1" applyFill="1" applyAlignment="1">
      <alignment horizontal="center"/>
    </xf>
    <xf numFmtId="10" fontId="15" fillId="7" borderId="0" xfId="0" applyNumberFormat="1" applyFont="1" applyFill="1" applyAlignment="1">
      <alignment horizontal="center"/>
    </xf>
    <xf numFmtId="8" fontId="11" fillId="4" borderId="0" xfId="0" applyNumberFormat="1" applyFont="1" applyFill="1"/>
    <xf numFmtId="10" fontId="11" fillId="4" borderId="0" xfId="0" applyNumberFormat="1" applyFont="1" applyFill="1" applyAlignment="1">
      <alignment horizontal="center"/>
    </xf>
    <xf numFmtId="0" fontId="8" fillId="10" borderId="0" xfId="0" applyFont="1" applyFill="1" applyAlignment="1">
      <alignment horizontal="left" vertical="center"/>
    </xf>
    <xf numFmtId="8" fontId="11" fillId="10" borderId="0" xfId="0" applyNumberFormat="1" applyFont="1" applyFill="1" applyAlignment="1">
      <alignment vertical="center"/>
    </xf>
    <xf numFmtId="10" fontId="11" fillId="10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8" fontId="11" fillId="11" borderId="0" xfId="0" applyNumberFormat="1" applyFont="1" applyFill="1" applyAlignment="1">
      <alignment vertical="center"/>
    </xf>
    <xf numFmtId="10" fontId="11" fillId="11" borderId="0" xfId="0" applyNumberFormat="1" applyFont="1" applyFill="1" applyAlignment="1">
      <alignment horizontal="center" vertical="center"/>
    </xf>
    <xf numFmtId="44" fontId="3" fillId="0" borderId="0" xfId="0" applyNumberFormat="1" applyFont="1"/>
    <xf numFmtId="0" fontId="3" fillId="12" borderId="0" xfId="0" applyFont="1" applyFill="1"/>
    <xf numFmtId="0" fontId="3" fillId="14" borderId="0" xfId="0" applyFont="1" applyFill="1" applyAlignment="1">
      <alignment horizontal="center"/>
    </xf>
    <xf numFmtId="44" fontId="3" fillId="14" borderId="0" xfId="2" applyFont="1" applyFill="1" applyAlignment="1">
      <alignment horizontal="center"/>
    </xf>
    <xf numFmtId="0" fontId="3" fillId="15" borderId="0" xfId="0" applyFont="1" applyFill="1"/>
    <xf numFmtId="0" fontId="0" fillId="15" borderId="0" xfId="0" applyFill="1"/>
    <xf numFmtId="0" fontId="3" fillId="16" borderId="0" xfId="0" applyFont="1" applyFill="1" applyAlignment="1">
      <alignment horizontal="center"/>
    </xf>
    <xf numFmtId="4" fontId="3" fillId="14" borderId="0" xfId="0" applyNumberFormat="1" applyFont="1" applyFill="1"/>
    <xf numFmtId="10" fontId="3" fillId="14" borderId="0" xfId="0" applyNumberFormat="1" applyFont="1" applyFill="1" applyAlignment="1">
      <alignment horizontal="center"/>
    </xf>
    <xf numFmtId="0" fontId="16" fillId="12" borderId="0" xfId="0" applyFont="1" applyFill="1"/>
    <xf numFmtId="0" fontId="16" fillId="14" borderId="0" xfId="0" applyFont="1" applyFill="1"/>
    <xf numFmtId="0" fontId="19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0" fillId="13" borderId="0" xfId="0" applyFont="1" applyFill="1"/>
    <xf numFmtId="0" fontId="20" fillId="13" borderId="0" xfId="0" applyFont="1" applyFill="1" applyAlignment="1">
      <alignment horizontal="center"/>
    </xf>
    <xf numFmtId="166" fontId="20" fillId="0" borderId="0" xfId="0" applyNumberFormat="1" applyFont="1"/>
    <xf numFmtId="10" fontId="20" fillId="0" borderId="0" xfId="1" applyNumberFormat="1" applyFont="1" applyBorder="1" applyAlignment="1">
      <alignment horizontal="center"/>
    </xf>
    <xf numFmtId="166" fontId="20" fillId="13" borderId="0" xfId="0" applyNumberFormat="1" applyFont="1" applyFill="1"/>
    <xf numFmtId="10" fontId="20" fillId="13" borderId="0" xfId="1" applyNumberFormat="1" applyFont="1" applyFill="1" applyBorder="1" applyAlignment="1">
      <alignment horizontal="center"/>
    </xf>
    <xf numFmtId="166" fontId="19" fillId="0" borderId="1" xfId="0" applyNumberFormat="1" applyFont="1" applyBorder="1"/>
    <xf numFmtId="10" fontId="19" fillId="0" borderId="1" xfId="1" applyNumberFormat="1" applyFont="1" applyBorder="1" applyAlignment="1">
      <alignment horizontal="center"/>
    </xf>
    <xf numFmtId="166" fontId="19" fillId="13" borderId="1" xfId="0" applyNumberFormat="1" applyFont="1" applyFill="1" applyBorder="1"/>
    <xf numFmtId="10" fontId="19" fillId="13" borderId="1" xfId="1" applyNumberFormat="1" applyFont="1" applyFill="1" applyBorder="1" applyAlignment="1">
      <alignment horizontal="center"/>
    </xf>
    <xf numFmtId="166" fontId="19" fillId="0" borderId="0" xfId="0" applyNumberFormat="1" applyFont="1"/>
    <xf numFmtId="10" fontId="19" fillId="0" borderId="0" xfId="1" applyNumberFormat="1" applyFont="1" applyBorder="1" applyAlignment="1">
      <alignment horizontal="center"/>
    </xf>
    <xf numFmtId="0" fontId="21" fillId="19" borderId="0" xfId="0" applyFont="1" applyFill="1" applyAlignment="1">
      <alignment horizontal="left"/>
    </xf>
    <xf numFmtId="0" fontId="22" fillId="0" borderId="0" xfId="0" applyFont="1" applyAlignment="1">
      <alignment horizontal="center"/>
    </xf>
    <xf numFmtId="10" fontId="20" fillId="0" borderId="0" xfId="1" applyNumberFormat="1" applyFont="1" applyAlignment="1">
      <alignment horizontal="center"/>
    </xf>
    <xf numFmtId="9" fontId="19" fillId="0" borderId="1" xfId="1" applyFont="1" applyBorder="1" applyAlignment="1">
      <alignment horizontal="center"/>
    </xf>
    <xf numFmtId="9" fontId="20" fillId="0" borderId="0" xfId="1" applyFont="1" applyAlignment="1">
      <alignment horizontal="center"/>
    </xf>
    <xf numFmtId="0" fontId="7" fillId="20" borderId="0" xfId="0" applyFont="1" applyFill="1" applyAlignment="1">
      <alignment vertical="center"/>
    </xf>
    <xf numFmtId="166" fontId="7" fillId="20" borderId="0" xfId="0" applyNumberFormat="1" applyFont="1" applyFill="1" applyAlignment="1">
      <alignment vertical="center"/>
    </xf>
    <xf numFmtId="9" fontId="19" fillId="21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right"/>
    </xf>
    <xf numFmtId="10" fontId="20" fillId="0" borderId="0" xfId="1" applyNumberFormat="1" applyFont="1"/>
    <xf numFmtId="166" fontId="20" fillId="0" borderId="0" xfId="0" applyNumberFormat="1" applyFont="1" applyAlignment="1">
      <alignment horizontal="right"/>
    </xf>
    <xf numFmtId="166" fontId="20" fillId="0" borderId="5" xfId="0" applyNumberFormat="1" applyFont="1" applyBorder="1" applyAlignment="1">
      <alignment horizontal="right"/>
    </xf>
    <xf numFmtId="10" fontId="19" fillId="0" borderId="0" xfId="1" applyNumberFormat="1" applyFont="1"/>
    <xf numFmtId="166" fontId="19" fillId="0" borderId="0" xfId="0" applyNumberFormat="1" applyFont="1" applyAlignment="1">
      <alignment horizontal="center"/>
    </xf>
    <xf numFmtId="44" fontId="0" fillId="0" borderId="0" xfId="2" applyFont="1"/>
    <xf numFmtId="9" fontId="11" fillId="0" borderId="1" xfId="1" applyFont="1" applyBorder="1" applyAlignment="1">
      <alignment horizontal="center"/>
    </xf>
    <xf numFmtId="0" fontId="22" fillId="22" borderId="0" xfId="0" applyFont="1" applyFill="1" applyAlignment="1">
      <alignment horizontal="left"/>
    </xf>
    <xf numFmtId="0" fontId="19" fillId="0" borderId="5" xfId="0" applyFont="1" applyBorder="1" applyAlignment="1">
      <alignment horizontal="center"/>
    </xf>
    <xf numFmtId="0" fontId="7" fillId="0" borderId="7" xfId="0" applyFont="1" applyBorder="1"/>
    <xf numFmtId="166" fontId="19" fillId="0" borderId="7" xfId="0" applyNumberFormat="1" applyFont="1" applyBorder="1"/>
    <xf numFmtId="10" fontId="19" fillId="0" borderId="7" xfId="1" applyNumberFormat="1" applyFont="1" applyBorder="1" applyAlignment="1">
      <alignment horizontal="center"/>
    </xf>
    <xf numFmtId="0" fontId="22" fillId="23" borderId="0" xfId="0" applyFont="1" applyFill="1" applyAlignment="1">
      <alignment horizontal="left"/>
    </xf>
    <xf numFmtId="4" fontId="13" fillId="23" borderId="0" xfId="0" applyNumberFormat="1" applyFont="1" applyFill="1" applyAlignment="1">
      <alignment vertical="center"/>
    </xf>
    <xf numFmtId="10" fontId="13" fillId="23" borderId="0" xfId="1" applyNumberFormat="1" applyFont="1" applyFill="1" applyBorder="1" applyAlignment="1">
      <alignment horizontal="center" vertical="center"/>
    </xf>
    <xf numFmtId="0" fontId="24" fillId="0" borderId="0" xfId="0" applyFont="1"/>
    <xf numFmtId="0" fontId="19" fillId="0" borderId="1" xfId="0" applyFont="1" applyBorder="1"/>
    <xf numFmtId="0" fontId="25" fillId="18" borderId="0" xfId="0" applyFont="1" applyFill="1" applyAlignment="1">
      <alignment vertical="center"/>
    </xf>
    <xf numFmtId="0" fontId="26" fillId="24" borderId="0" xfId="0" applyFont="1" applyFill="1" applyAlignment="1">
      <alignment horizontal="center"/>
    </xf>
    <xf numFmtId="0" fontId="26" fillId="25" borderId="8" xfId="0" applyFont="1" applyFill="1" applyBorder="1" applyAlignment="1">
      <alignment horizontal="center"/>
    </xf>
    <xf numFmtId="167" fontId="26" fillId="25" borderId="9" xfId="0" applyNumberFormat="1" applyFont="1" applyFill="1" applyBorder="1" applyAlignment="1">
      <alignment horizontal="center"/>
    </xf>
    <xf numFmtId="0" fontId="26" fillId="25" borderId="10" xfId="0" applyFont="1" applyFill="1" applyBorder="1" applyAlignment="1">
      <alignment horizontal="center"/>
    </xf>
    <xf numFmtId="167" fontId="26" fillId="25" borderId="9" xfId="0" applyNumberFormat="1" applyFont="1" applyFill="1" applyBorder="1"/>
    <xf numFmtId="0" fontId="27" fillId="26" borderId="0" xfId="0" applyFont="1" applyFill="1" applyAlignment="1">
      <alignment horizontal="center"/>
    </xf>
    <xf numFmtId="167" fontId="27" fillId="26" borderId="9" xfId="0" applyNumberFormat="1" applyFont="1" applyFill="1" applyBorder="1"/>
    <xf numFmtId="0" fontId="0" fillId="27" borderId="11" xfId="0" applyFill="1" applyBorder="1"/>
    <xf numFmtId="167" fontId="0" fillId="27" borderId="12" xfId="0" applyNumberFormat="1" applyFill="1" applyBorder="1"/>
    <xf numFmtId="0" fontId="0" fillId="27" borderId="5" xfId="0" applyFill="1" applyBorder="1"/>
    <xf numFmtId="0" fontId="0" fillId="27" borderId="0" xfId="0" applyFill="1"/>
    <xf numFmtId="0" fontId="19" fillId="0" borderId="5" xfId="0" applyFont="1" applyBorder="1" applyAlignment="1">
      <alignment horizontal="right"/>
    </xf>
    <xf numFmtId="0" fontId="28" fillId="0" borderId="0" xfId="0" applyFont="1"/>
    <xf numFmtId="167" fontId="28" fillId="0" borderId="11" xfId="0" applyNumberFormat="1" applyFont="1" applyBorder="1"/>
    <xf numFmtId="167" fontId="0" fillId="0" borderId="0" xfId="0" applyNumberFormat="1"/>
    <xf numFmtId="0" fontId="0" fillId="0" borderId="0" xfId="0" applyAlignment="1">
      <alignment horizontal="right"/>
    </xf>
    <xf numFmtId="0" fontId="28" fillId="0" borderId="0" xfId="0" applyFont="1" applyAlignment="1">
      <alignment horizontal="right"/>
    </xf>
    <xf numFmtId="167" fontId="28" fillId="0" borderId="0" xfId="0" applyNumberFormat="1" applyFont="1"/>
    <xf numFmtId="0" fontId="28" fillId="0" borderId="5" xfId="0" applyFont="1" applyBorder="1" applyAlignment="1">
      <alignment horizontal="right"/>
    </xf>
    <xf numFmtId="0" fontId="28" fillId="0" borderId="5" xfId="0" applyFont="1" applyBorder="1"/>
    <xf numFmtId="167" fontId="28" fillId="0" borderId="5" xfId="0" applyNumberFormat="1" applyFont="1" applyBorder="1"/>
    <xf numFmtId="0" fontId="0" fillId="0" borderId="2" xfId="0" applyBorder="1" applyAlignment="1">
      <alignment horizontal="right"/>
    </xf>
    <xf numFmtId="167" fontId="0" fillId="0" borderId="2" xfId="0" applyNumberFormat="1" applyBorder="1"/>
    <xf numFmtId="0" fontId="0" fillId="0" borderId="1" xfId="0" applyBorder="1" applyAlignment="1">
      <alignment horizontal="right"/>
    </xf>
    <xf numFmtId="167" fontId="0" fillId="0" borderId="1" xfId="0" applyNumberFormat="1" applyBorder="1"/>
    <xf numFmtId="0" fontId="0" fillId="28" borderId="3" xfId="0" applyFill="1" applyBorder="1" applyAlignment="1">
      <alignment horizontal="right"/>
    </xf>
    <xf numFmtId="0" fontId="0" fillId="28" borderId="3" xfId="0" applyFill="1" applyBorder="1"/>
    <xf numFmtId="167" fontId="0" fillId="28" borderId="3" xfId="0" applyNumberFormat="1" applyFill="1" applyBorder="1"/>
    <xf numFmtId="0" fontId="0" fillId="28" borderId="0" xfId="0" applyFill="1" applyAlignment="1">
      <alignment horizontal="right"/>
    </xf>
    <xf numFmtId="0" fontId="0" fillId="28" borderId="0" xfId="0" applyFill="1"/>
    <xf numFmtId="167" fontId="0" fillId="28" borderId="0" xfId="0" applyNumberFormat="1" applyFill="1"/>
    <xf numFmtId="44" fontId="0" fillId="28" borderId="0" xfId="2" applyFont="1" applyFill="1"/>
    <xf numFmtId="44" fontId="0" fillId="28" borderId="0" xfId="0" applyNumberFormat="1" applyFill="1"/>
    <xf numFmtId="0" fontId="6" fillId="28" borderId="0" xfId="0" applyFont="1" applyFill="1" applyAlignment="1">
      <alignment horizontal="right"/>
    </xf>
    <xf numFmtId="0" fontId="6" fillId="28" borderId="0" xfId="0" applyFont="1" applyFill="1"/>
    <xf numFmtId="167" fontId="6" fillId="28" borderId="0" xfId="0" applyNumberFormat="1" applyFont="1" applyFill="1"/>
    <xf numFmtId="44" fontId="6" fillId="28" borderId="0" xfId="2" applyFont="1" applyFill="1" applyBorder="1"/>
    <xf numFmtId="0" fontId="6" fillId="28" borderId="4" xfId="0" applyFont="1" applyFill="1" applyBorder="1" applyAlignment="1">
      <alignment horizontal="right"/>
    </xf>
    <xf numFmtId="0" fontId="6" fillId="28" borderId="4" xfId="0" applyFont="1" applyFill="1" applyBorder="1"/>
    <xf numFmtId="167" fontId="6" fillId="28" borderId="4" xfId="0" applyNumberFormat="1" applyFont="1" applyFill="1" applyBorder="1"/>
    <xf numFmtId="44" fontId="0" fillId="0" borderId="0" xfId="0" applyNumberFormat="1"/>
    <xf numFmtId="44" fontId="3" fillId="0" borderId="0" xfId="2" applyFont="1"/>
    <xf numFmtId="44" fontId="11" fillId="0" borderId="5" xfId="2" applyFont="1" applyBorder="1" applyAlignment="1">
      <alignment horizontal="center"/>
    </xf>
    <xf numFmtId="44" fontId="11" fillId="0" borderId="0" xfId="2" applyFont="1" applyAlignment="1">
      <alignment horizontal="center"/>
    </xf>
    <xf numFmtId="44" fontId="11" fillId="0" borderId="1" xfId="2" applyFont="1" applyBorder="1"/>
    <xf numFmtId="44" fontId="11" fillId="0" borderId="0" xfId="2" applyFont="1"/>
    <xf numFmtId="44" fontId="11" fillId="4" borderId="1" xfId="2" applyFont="1" applyFill="1" applyBorder="1" applyAlignment="1">
      <alignment horizontal="left" vertical="center"/>
    </xf>
    <xf numFmtId="44" fontId="11" fillId="5" borderId="0" xfId="2" applyFont="1" applyFill="1"/>
    <xf numFmtId="9" fontId="11" fillId="0" borderId="5" xfId="1" applyFont="1" applyBorder="1" applyAlignment="1">
      <alignment horizontal="center"/>
    </xf>
    <xf numFmtId="9" fontId="11" fillId="0" borderId="0" xfId="1" applyFont="1" applyAlignment="1">
      <alignment horizontal="center"/>
    </xf>
    <xf numFmtId="9" fontId="3" fillId="0" borderId="1" xfId="1" applyFont="1" applyBorder="1" applyAlignment="1">
      <alignment horizontal="center"/>
    </xf>
    <xf numFmtId="9" fontId="11" fillId="4" borderId="1" xfId="1" applyFont="1" applyFill="1" applyBorder="1" applyAlignment="1">
      <alignment horizontal="center" vertical="center"/>
    </xf>
    <xf numFmtId="9" fontId="11" fillId="5" borderId="0" xfId="1" applyFont="1" applyFill="1" applyAlignment="1">
      <alignment horizontal="center"/>
    </xf>
    <xf numFmtId="9" fontId="3" fillId="0" borderId="0" xfId="1" applyFont="1"/>
    <xf numFmtId="14" fontId="0" fillId="0" borderId="3" xfId="2" applyNumberFormat="1" applyFont="1" applyBorder="1"/>
    <xf numFmtId="14" fontId="0" fillId="0" borderId="3" xfId="1" applyNumberFormat="1" applyFont="1" applyBorder="1"/>
    <xf numFmtId="0" fontId="3" fillId="0" borderId="3" xfId="0" applyFont="1" applyBorder="1"/>
    <xf numFmtId="0" fontId="3" fillId="0" borderId="3" xfId="0" applyFont="1" applyBorder="1" applyAlignment="1">
      <alignment horizontal="center"/>
    </xf>
    <xf numFmtId="0" fontId="3" fillId="0" borderId="4" xfId="0" applyFont="1" applyBorder="1"/>
    <xf numFmtId="10" fontId="0" fillId="0" borderId="0" xfId="0" applyNumberFormat="1"/>
    <xf numFmtId="44" fontId="0" fillId="12" borderId="0" xfId="2" applyFont="1" applyFill="1" applyProtection="1"/>
    <xf numFmtId="9" fontId="0" fillId="12" borderId="0" xfId="1" applyFont="1" applyFill="1" applyProtection="1"/>
    <xf numFmtId="4" fontId="0" fillId="0" borderId="2" xfId="0" applyNumberFormat="1" applyBorder="1"/>
    <xf numFmtId="10" fontId="0" fillId="0" borderId="2" xfId="0" applyNumberFormat="1" applyBorder="1"/>
    <xf numFmtId="44" fontId="0" fillId="13" borderId="2" xfId="0" applyNumberFormat="1" applyFill="1" applyBorder="1"/>
    <xf numFmtId="9" fontId="0" fillId="13" borderId="2" xfId="0" applyNumberFormat="1" applyFill="1" applyBorder="1"/>
    <xf numFmtId="9" fontId="0" fillId="0" borderId="0" xfId="1" applyFont="1" applyProtection="1"/>
    <xf numFmtId="9" fontId="0" fillId="0" borderId="2" xfId="0" applyNumberFormat="1" applyBorder="1"/>
    <xf numFmtId="9" fontId="0" fillId="13" borderId="2" xfId="1" applyFont="1" applyFill="1" applyBorder="1" applyProtection="1"/>
    <xf numFmtId="9" fontId="0" fillId="13" borderId="0" xfId="1" applyFont="1" applyFill="1" applyProtection="1"/>
    <xf numFmtId="165" fontId="0" fillId="13" borderId="2" xfId="1" applyNumberFormat="1" applyFont="1" applyFill="1" applyBorder="1" applyProtection="1"/>
    <xf numFmtId="0" fontId="0" fillId="17" borderId="0" xfId="0" applyFill="1"/>
    <xf numFmtId="10" fontId="0" fillId="17" borderId="0" xfId="0" applyNumberFormat="1" applyFill="1"/>
    <xf numFmtId="44" fontId="0" fillId="13" borderId="0" xfId="0" applyNumberFormat="1" applyFill="1"/>
    <xf numFmtId="0" fontId="6" fillId="0" borderId="1" xfId="0" applyFont="1" applyBorder="1"/>
    <xf numFmtId="44" fontId="0" fillId="13" borderId="0" xfId="2" applyFont="1" applyFill="1" applyProtection="1"/>
    <xf numFmtId="44" fontId="0" fillId="0" borderId="0" xfId="2" applyFont="1" applyProtection="1"/>
    <xf numFmtId="0" fontId="0" fillId="13" borderId="0" xfId="0" applyFill="1"/>
    <xf numFmtId="9" fontId="0" fillId="12" borderId="0" xfId="1" applyFont="1" applyFill="1"/>
    <xf numFmtId="44" fontId="0" fillId="17" borderId="0" xfId="2" applyFont="1" applyFill="1"/>
    <xf numFmtId="44" fontId="0" fillId="0" borderId="2" xfId="2" applyFont="1" applyBorder="1"/>
    <xf numFmtId="168" fontId="0" fillId="0" borderId="0" xfId="2" applyNumberFormat="1" applyFont="1"/>
    <xf numFmtId="168" fontId="0" fillId="0" borderId="0" xfId="0" applyNumberFormat="1"/>
    <xf numFmtId="165" fontId="0" fillId="0" borderId="0" xfId="1" applyNumberFormat="1" applyFont="1"/>
    <xf numFmtId="0" fontId="6" fillId="0" borderId="0" xfId="0" applyFont="1"/>
    <xf numFmtId="44" fontId="0" fillId="0" borderId="0" xfId="1" applyNumberFormat="1" applyFont="1"/>
    <xf numFmtId="44" fontId="0" fillId="0" borderId="0" xfId="2" applyFont="1" applyFill="1"/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7" fontId="4" fillId="2" borderId="3" xfId="0" applyNumberFormat="1" applyFont="1" applyFill="1" applyBorder="1" applyAlignment="1">
      <alignment horizontal="center" vertical="center"/>
    </xf>
    <xf numFmtId="17" fontId="4" fillId="2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/>
    <xf numFmtId="0" fontId="3" fillId="0" borderId="0" xfId="0" applyFont="1"/>
    <xf numFmtId="0" fontId="18" fillId="9" borderId="0" xfId="0" applyFont="1" applyFill="1" applyAlignment="1">
      <alignment horizontal="center" vertical="center"/>
    </xf>
    <xf numFmtId="17" fontId="9" fillId="2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center"/>
    </xf>
    <xf numFmtId="17" fontId="23" fillId="18" borderId="0" xfId="0" quotePrefix="1" applyNumberFormat="1" applyFont="1" applyFill="1" applyAlignment="1">
      <alignment horizontal="center" vertical="center"/>
    </xf>
    <xf numFmtId="0" fontId="7" fillId="0" borderId="6" xfId="0" applyFont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85">
    <dxf>
      <numFmt numFmtId="19" formatCode="dd/mm/yyyy"/>
    </dxf>
    <dxf>
      <numFmt numFmtId="19" formatCode="dd/mm/yyyy"/>
    </dxf>
    <dxf>
      <numFmt numFmtId="19" formatCode="dd/mm/yyyy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ont>
        <b/>
      </font>
    </dxf>
    <dxf>
      <font>
        <b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4" formatCode="&quot;$&quot;#,##0.00"/>
    </dxf>
    <dxf>
      <numFmt numFmtId="164" formatCode="&quot;$&quot;#,##0.0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64" formatCode="&quot;$&quot;#,##0.00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66675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57150</xdr:rowOff>
        </xdr:from>
        <xdr:to>
          <xdr:col>5</xdr:col>
          <xdr:colOff>238125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Reporte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50.589877662038" createdVersion="8" refreshedVersion="8" minRefreshableVersion="3" recordCount="2" xr:uid="{00000000-000A-0000-FFFF-FFFF1E000000}">
  <cacheSource type="worksheet">
    <worksheetSource ref="A1:K1048576" sheet="Hoja3"/>
  </cacheSource>
  <cacheFields count="11">
    <cacheField name="Id" numFmtId="0">
      <sharedItems containsNonDate="0" containsString="0" containsBlank="1"/>
    </cacheField>
    <cacheField name="Fecha" numFmtId="0">
      <sharedItems containsNonDate="0" containsDate="1" containsString="0" containsBlank="1" minDate="2023-03-31T00:00:00" maxDate="2023-04-13T00:00:00" count="9">
        <m/>
        <d v="2023-04-04T00:00:00" u="1"/>
        <d v="2023-04-05T00:00:00" u="1"/>
        <d v="2023-04-10T00:00:00" u="1"/>
        <d v="2023-04-06T00:00:00" u="1"/>
        <d v="2023-03-31T00:00:00" u="1"/>
        <d v="2023-04-11T00:00:00" u="1"/>
        <d v="2023-04-03T00:00:00" u="1"/>
        <d v="2023-04-12T00:00:00" u="1"/>
      </sharedItems>
    </cacheField>
    <cacheField name="Sucursal" numFmtId="0">
      <sharedItems containsNonDate="0" containsBlank="1" count="23">
        <m/>
        <s v="Puentes" u="1"/>
        <s v="Oficina" u="1"/>
        <s v="M. Berneses" u="1"/>
        <s v="San Jeronimo" u="1"/>
        <s v="LaFe" u="1"/>
        <s v="Republica" u="1"/>
        <s v="Produccion" u="1"/>
        <s v="Azteca" u="1"/>
        <s v="Mitras" u="1"/>
        <s v="Walmart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Sta Catarina" u="1"/>
        <s v="Cadereyta" u="1"/>
        <s v="Multiplaza" u="1"/>
      </sharedItems>
    </cacheField>
    <cacheField name="Tipo de movimiento" numFmtId="0">
      <sharedItems containsNonDate="0" containsString="0" containsBlank="1"/>
    </cacheField>
    <cacheField name="Detalle de movimiento" numFmtId="0">
      <sharedItems containsNonDate="0" containsString="0" containsBlank="1"/>
    </cacheField>
    <cacheField name="Importe_Ingreso" numFmtId="0">
      <sharedItems containsNonDate="0" containsString="0" containsBlank="1"/>
    </cacheField>
    <cacheField name="Importe_Egresos" numFmtId="0">
      <sharedItems containsNonDate="0" containsString="0" containsBlank="1"/>
    </cacheField>
    <cacheField name="Importe_Saldo_I" numFmtId="0">
      <sharedItems containsNonDate="0" containsString="0" containsBlank="1"/>
    </cacheField>
    <cacheField name="Importe_Saldo_F" numFmtId="0">
      <sharedItems containsNonDate="0" containsString="0" containsBlank="1"/>
    </cacheField>
    <cacheField name="Informacion adicional" numFmtId="0">
      <sharedItems containsNonDate="0" containsBlank="1" count="238">
        <m/>
        <s v="COMPRA DE MIEL" u="1"/>
        <s v="PATIO LINCOLN RENTA MES DE MARZO" u="1"/>
        <s v="PEDIDO DE ALMACEN" u="1"/>
        <s v="PAGO DE CFE" u="1"/>
        <s v="BONLATTI 55328" u="1"/>
        <s v="PRESTAMO A JAQUELINE MITRAS" u="1"/>
        <s v="PAGO A BONLATTI" u="1"/>
        <s v="FRESAS GUERRERO BODEGA 152-A" u="1"/>
        <s v="DEPOSITO CARLOS JAVIER MATA VALDES" u="1"/>
        <s v="VENTA ALMACEN" u="1"/>
        <s v="BONLATTI 80604" u="1"/>
        <s v="MTTO MERCO ABRIL" u="1"/>
        <s v="PROMOTORA GAITAN" u="1"/>
        <s v="PAGO TELEFONO" u="1"/>
        <s v="VENTA ALMACEN DIA 11 DE ABRIL" u="1"/>
        <s v="ADELANTO DE NOMINA LAURA CALVILLO" u="1"/>
        <s v="PAGO DE TELEFONO" u="1"/>
        <s v="VENTAS DEL 27 AL 1 DE ABRIL 2023" u="1"/>
        <s v="PAGO Y CANCELACION DE SERVICIO" u="1"/>
        <s v="FRUT REY 1371" u="1"/>
        <s v="RESTO ADECUACION DE PRODUCCION" u="1"/>
        <s v="DEPOSITO PARA NOMINA" u="1"/>
        <s v="JICAFRUTAS 49932" u="1"/>
        <s v="NOMINA QUINCENAL" u="1"/>
        <s v="SALIDA PARA DEPOSITO A GRUPO" u="1"/>
        <s v=" DEPOSITO EN EFECTIVO" u="1"/>
        <s v="PARA DEPOSITO EN EFECTIVO" u="1"/>
        <s v="PAGO A ALIMENTOS Y PAGOS INGLOBAL" u="1"/>
        <s v="CABLEADO PARA NUEVO MEDIDOR" u="1"/>
        <s v="CONTRY REGALIAS FEBRERO 2023" u="1"/>
        <s v="fumigacion" u="1"/>
        <s v="DEVOLUCION DE COMPRAS" u="1"/>
        <s v="procesadora chapa 0034" u="1"/>
        <s v="PAGO DE IMPUESTOS ENE- DIC 2022" u="1"/>
        <s v="DEV DE SEPARADO EN CAJA" u="1"/>
        <s v="compra de gigas correo Sra Natalia" u="1"/>
        <s v="PROCESADORA CHAPA 0039" u="1"/>
        <s v="SALDO INICIAL UNIGURT" u="1"/>
        <s v="COMPRA DE CUCHILLOS PARA CORTAR" u="1"/>
        <s v="VENTA DEL DIA 30 DE MARZO 2023" u="1"/>
        <s v="VENTA DEL DIA 31 DE MARZO 2023" u="1"/>
        <s v="VENTA ALMACEN 6 DE ABRIL" u="1"/>
        <s v="SEGURO DE VEHICULO" u="1"/>
        <s v="PRESTAMO DE UNIGURT" u="1"/>
        <s v="QUINTAS REGALIAS FEBRERO 2023" u="1"/>
        <s v="PAGO DIF DE PLATAFORMAS" u="1"/>
        <s v="GASOLINA A ESTAQUITAS" u="1"/>
        <s v="BONOS FEBRERO" u="1"/>
        <s v="COMPRAS DEL DIA (LALA)" u="1"/>
        <s v="GASTOS PERSONALES RICS MORALES" u="1"/>
        <s v="PRODUCTOS TITO 22258" u="1"/>
        <s v="dev del banco por mov doble" u="1"/>
        <s v="PRESTAMO PARA PAGO DE RENTA ING  RAMIRO" u="1"/>
        <s v="DEV DE COMPRAS DEL DIA" u="1"/>
        <s v="ESTACIONAMIENTO" u="1"/>
        <s v="COMPRA DE NUEZ LINUEZ" u="1"/>
        <s v="DEPOSITO VENTA DE ALMACEN" u="1"/>
        <s v="VETAS TPV" u="1"/>
        <s v="COMPRA DE ENSERES PARA SUCURSAL NUEVA" u="1"/>
        <s v="bonlatti 55327" u="1"/>
        <s v="ADELANTO DE NOMINA DANIELA" u="1"/>
        <s v="REGALIAS QUINTAS ENERO 2023" u="1"/>
        <s v="VENTA DE ALMACEN" u="1"/>
        <s v="DEPOSITO BANCARIO" u="1"/>
        <s v="VENTAS DEL 26 MARZO AL 1 DE ABRIL 2023" u="1"/>
        <s v="COMISIONES POR TPV" u="1"/>
        <s v="GASTOS PERSONALES" u="1"/>
        <s v="COMPRA CASA LOPEZ DE MTY" u="1"/>
        <s v="COMPRAS DEL DIA" u="1"/>
        <s v="REPUBLICA DIF DE TPV" u="1"/>
        <s v="HONORARIOS RIF" u="1"/>
        <s v="COPIA DE LLAVE PUERTA VELLANIA" u="1"/>
        <s v="COMLRAS MERCADO" u="1"/>
        <s v="FRESAS GUERRERO 152-A" u="1"/>
        <s v="ADELANTO DE NOMINA" u="1"/>
        <s v="PRESTAMO PARA PAGO DE RENTA MERCO" u="1"/>
        <s v="COMPRA EN BODEGA SANTO DOMINGO" u="1"/>
        <s v="UNIVERSIDAD REGALIAS FEBRERO 2023" u="1"/>
        <s v="REDES SOCIALES FACEBOOK" u="1"/>
        <s v="COMPRA DE MATERIAL" u="1"/>
        <s v="FINANCIAMIENTO 1/12" u="1"/>
        <s v="FRUT REY -1417" u="1"/>
        <s v="VENTA DE DOS PLAYERAS" u="1"/>
        <s v="PAGO A DPD" u="1"/>
        <s v="FINANCIAMINETO 1/12" u="1"/>
        <s v="MATERIAL ELECTRICO ALMACEN Y PRODUCCION" u="1"/>
        <s v="CONOS PARA HELADOS MARTINEZ" u="1"/>
        <s v="COMISIONES TPV" u="1"/>
        <s v="PAGO DE SERVICIO Y CANCELACION" u="1"/>
        <s v="BONLATTI 55331" u="1"/>
        <s v="RICS GASTOS PERSONALES UBER" u="1"/>
        <s v="PRODUCTOS TITO 21260" u="1"/>
        <s v="VENTA DEL 26 AL 2 DE ABRIL 2023" u="1"/>
        <s v="VENTA SO11642 AZTECA" u="1"/>
        <s v="COMPRA DE CHOCOLATE Y VAINILLA" u="1"/>
        <s v="VENTA DE 1 PLAYERA" u="1"/>
        <s v="PAGO DE AGUA" u="1"/>
        <s v="FERRETERIA EL POLACO" u="1"/>
        <s v="PAGO HONORARIOS" u="1"/>
        <s v="RECOLECCION EN PUENTES" u="1"/>
        <s v="GASTO ING RAMIRO MORALES" u="1"/>
        <s v="COMISIONES  TPV" u="1"/>
        <s v="DEV DE COMPRAS" u="1"/>
        <s v="saldo banco grupo fruyog" u="1"/>
        <s v="SEGURO DE AUTOS" u="1"/>
        <s v="MANO DE OBRA ISUZU Y NP300" u="1"/>
        <s v="BONLATTI 80607" u="1"/>
        <s v="ING RAMIRO GASTOS PERSONALES" u="1"/>
        <s v="MATERIAL ELECTRICO NUEVO LOCAL DE PRPDUCCION" u="1"/>
        <s v="COMPRA DE ANTIVIRUS" u="1"/>
        <s v="COMPRA PILA DE ISUZU" u="1"/>
        <s v="DEV COMPRAS SAN JERONIMO" u="1"/>
        <s v="RECARGA JESUS MAYA" u="1"/>
        <s v="COMPRA ESPECIAS MOY" u="1"/>
        <s v="VENTA DEL DIA 31 DE MARZO" u="1"/>
        <s v="PAGO A IND DE PROD LACTEOS" u="1"/>
        <s v="ADELANTO DE SUELDO" u="1"/>
        <s v="casetas a cadereyta" u="1"/>
        <s v="RESTO DE ANUNCIOS SAN JERONIMO" u="1"/>
        <s v="DEV COMPRAS DEL DIA" u="1"/>
        <s v="TERMINALES DE ISUZU" u="1"/>
        <s v="UBER BRAYAN DIEGO DIAZ A APODACA 3" u="1"/>
        <s v="DANNY GRATIFICACION MENSUAL" u="1"/>
        <s v="PAGO A BETO BELLOTA 3/3" u="1"/>
        <s v="SALDO INICIAL EFVO CAJA" u="1"/>
        <s v="INSTALACION DE CAMARAS INCLUYE DVR" u="1"/>
        <s v="PAGO TELEFONO QUE USA YOSS" u="1"/>
        <s v="COMISION DE DEPOSITO" u="1"/>
        <s v="ESTACIONAMIENTO ENTREGAR PEDIDO" u="1"/>
        <s v="COMPRA DE DOS PANTALLAS BODEGA SANTO DOMINGO" u="1"/>
        <s v="LA LOMA 39934" u="1"/>
        <s v="PRODUCTOS TITO 21757" u="1"/>
        <s v="FRUT REY 1287" u="1"/>
        <s v="PAGO CONOS PARA HELADOS MARTINEZ" u="1"/>
        <s v="PAGO MOLIENDAS Y ALIMENTOS" u="1"/>
        <s v="PAGO FACT GASOLINA" u="1"/>
        <s v="JICAFRUTAS 49865" u="1"/>
        <s v="FRUT REY 1255" u="1"/>
        <s v="RETIRAR ESCOMBRO DE NUEVO LOCAL DE PRODUCCION" u="1"/>
        <s v="MORRALLA SAN JERONIMO ENTREGADA A CESAR" u="1"/>
        <s v="DESCARGA BONANZA" u="1"/>
        <s v="JICAFRUTAS 50215" u="1"/>
        <s v="PAGO A LA REGIA" u="1"/>
        <s v="ASESORIA JOSE R CORTES" u="1"/>
        <s v="REGALIAS CONTRY ENERO 2023" u="1"/>
        <s v="VENTAS TPV" u="1"/>
        <s v="PAGO PARCIAL DE CREDITO" u="1"/>
        <s v="FUMIGACIONES" u="1"/>
        <s v="BONLATTI 55330" u="1"/>
        <s v="RESTO NOMINA SEMANAL" u="1"/>
        <s v="TRASPASO DE BANORTE" u="1"/>
        <s v="VENTA TPV" u="1"/>
        <s v="FRUT REY 1354" u="1"/>
        <s v="FUMOGACIONES" u="1"/>
        <s v="PAGO INTERNET" u="1"/>
        <s v="PARA DEPOSITO BANCARIO" u="1"/>
        <s v="CARLOS CASTILLO ADELANTO DE NOMINA" u="1"/>
        <s v="COMPRA DE FRUTA" u="1"/>
        <s v="UNIVERSIDAD REGALIAS ENERO 2023" u="1"/>
        <s v="BUNZL DE MEXICO" u="1"/>
        <s v="pago y cancelacion de telefono" u="1"/>
        <s v="PAGO DE PEDIDO ALMACEN" u="1"/>
        <s v="BONLATTI 80606" u="1"/>
        <s v="SEPARADO EN CAJA" u="1"/>
        <s v="ESTCIONAMIENTO ENTREGAR PEDIDO" u="1"/>
        <s v="VENTAS DEL 26 AL 1 DE ABRIL" u="1"/>
        <s v="REGALIAS MARZO 2023" u="1"/>
        <s v="COMPRA MATERIAL ELECTRICO" u="1"/>
        <s v="PAGO RECIBO CFE" u="1"/>
        <s v="CASETAS A AUDITORIA" u="1"/>
        <s v="TIENDAS SORIANA" u="1"/>
        <s v="PAGO SM SOLUCIONES" u="1"/>
        <s v="VENTAS DEL 1 DE ABRIL 2023" u="1"/>
        <s v="LALA TICKET" u="1"/>
        <s v="VENTAS DEL 26 AL 31 DE MARZO" u="1"/>
        <s v="DESCARGA DE INGLOBAL" u="1"/>
        <s v="PAGO DE NOMINA" u="1"/>
        <s v="NUEVO CONTRATO CFE" u="1"/>
        <s v="venta del 28 de marzo al 4 de Abril" u="1"/>
        <s v="PAGO RENTA SAN PEDRO MES DE FEBRERO" u="1"/>
        <s v="UBER DE DIEGO DIAZ A APODACA 3" u="1"/>
        <s v="ADELANTO DE NOMINA GERARDO MARTINEZ" u="1"/>
        <s v="ELOTES LOREDO 2834" u="1"/>
        <s v="DEPOISTO EN EFECTIVO" u="1"/>
        <s v="DEPOSITO EN EFECTIVO" u="1"/>
        <s v="PAGO BUNZL DE MEXICO" u="1"/>
        <s v="RENTA BERNESES ABRIL 2023" u="1"/>
        <s v="VENTA SO11697" u="1"/>
        <s v="GASOLINA ESTAQUITAS" u="1"/>
        <s v="SUELDO SEMANAL LAURA CALVILLO" u="1"/>
        <s v="27 marzo" u="1"/>
        <s v="GASTOS ING RAMIRO" u="1"/>
        <s v="PAGO A MERCANTIL DISTRIBUIDORA GASOLINA" u="1"/>
        <s v="promotora gaitan 558441" u="1"/>
        <s v="DEPOSITO RENTA Y MTTO MERCO" u="1"/>
        <s v="BRENDA VALLEJO PRESTAMON PERSONAL" u="1"/>
        <s v="ANTICIPO DE TROVICEL" u="1"/>
        <s v="INSTALACION DE CAMARA" u="1"/>
        <s v="PAGO A ENVAI FOOD PACKAGING" u="1"/>
        <s v="FRUT REY 1448" u="1"/>
        <s v="AFINACION NP300" u="1"/>
        <s v="CHILCHOTA 21146" u="1"/>
        <s v="venta del 26 marzo al 7 de ABRIL" u="1"/>
        <s v="PROCESADORA CHAPA 0050" u="1"/>
        <s v="BONLATTI 55329" u="1"/>
        <s v="deposito a beto bellota" u="1"/>
        <s v="RENTA MERCO ABRIL" u="1"/>
        <s v="PAGO A BASES PARA HELADOS Y MATERIA PRIMA" u="1"/>
        <s v="PROCESADORA CHAPA 0052" u="1"/>
        <s v="PAGO CFE" u="1"/>
        <s v="recoleccion" u="1"/>
        <s v="BONLATTI 80605" u="1"/>
        <s v="PAGO CREDITO GRUPO FRUYOG" u="1"/>
        <s v="CHILCHOTA 21147" u="1"/>
        <s v="DEVOLUCION A CAJA DE PRESTAMO DE JAQUELINE" u="1"/>
        <s v="MORRALLA APERTURA" u="1"/>
        <s v="PRODUCTOS TITO 20921" u="1"/>
        <s v="PROCESDAORA CHAPA0046" u="1"/>
        <s v="VENTA DEL 3 DE ABRIL" u="1"/>
        <s v="VENTA DEL 4 DE ABRIL" u="1"/>
        <s v="PAGO MEX BROKER" u="1"/>
        <s v="KESOS Y KOSAS DIEGO DIAZ" u="1"/>
        <s v="DEV DE SEPARADO EN CAJA POR VENTAS TPV" u="1"/>
        <s v="PROMOTORA GAITAN 558381" u="1"/>
        <s v="PRESTAMO PERSONAL" u="1"/>
        <s v="PAGO DE FALTANTE" u="1"/>
        <s v="PRESTAMO PARA PAGO PROVEEDORES" u="1"/>
        <s v="PROCESADORA CHAPA 0040" u="1"/>
        <s v="COMPRAS MERCADO" u="1"/>
        <s v="VENTAS DEL 26 DE MARZO AL 2 DE ABRIL" u="1"/>
        <s v="VENTAS DEL 26 DE MARZO AL 4 DE ABRIL" u="1"/>
        <s v="VENTAS DEL 26 DE MARZO AL 7 DE ABRIL" u="1"/>
        <s v="VENTAS DEL 1 AL 4 DE ABRIL" u="1"/>
        <s v="VENTAS DEL 1 AL 7 DE ABRIL" u="1"/>
        <s v="VENTAS DEL 2 AL 4 DE ABRIL" u="1"/>
        <s v="DEPOSITO A JOSE LUIS RAYOS SALAZAR" u="1"/>
        <s v="PAGO TELEFONO WALMART" u="1"/>
      </sharedItems>
    </cacheField>
    <cacheField name="Est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050.589878125" createdVersion="6" refreshedVersion="8" minRefreshableVersion="3" recordCount="3" xr:uid="{00000000-000A-0000-FFFF-FFFF26000000}">
  <cacheSource type="worksheet">
    <worksheetSource name="Tabla_Registro_de_movimientos_app.accdb"/>
  </cacheSource>
  <cacheFields count="13">
    <cacheField name="Id" numFmtId="0">
      <sharedItems containsSemiMixedTypes="0" containsString="0" containsNumber="1" containsInteger="1" minValue="2" maxValue="4"/>
    </cacheField>
    <cacheField name="Fecha" numFmtId="14">
      <sharedItems containsSemiMixedTypes="0" containsNonDate="0" containsDate="1" containsString="0" minDate="2023-05-04T00:00:00" maxDate="2023-05-12T00:00:00" count="3">
        <d v="2023-05-04T00:00:00"/>
        <d v="2023-05-05T00:00:00"/>
        <d v="2023-05-11T00:00:00"/>
      </sharedItems>
      <fieldGroup base="1">
        <rangePr autoStart="0" groupBy="days" startDate="2023-05-04T00:00:00" endDate="2023-05-12T00:00:00" groupInterval="7"/>
        <groupItems count="4">
          <s v="&lt;04/05/2023"/>
          <s v="04/05/2023 - 10/05/2023"/>
          <s v="11/05/2023 - 12/05/2023"/>
          <s v="&gt;12/05/2023"/>
        </groupItems>
      </fieldGroup>
    </cacheField>
    <cacheField name="Sucursal" numFmtId="0">
      <sharedItems containsBlank="1" count="29">
        <s v="Cadereyta"/>
        <s v="Oficina"/>
        <m u="1"/>
        <s v="Puentes" u="1"/>
        <s v="S.Apodaca" u="1"/>
        <s v="M. Berneses" u="1"/>
        <s v="San Roque" u="1"/>
        <s v="San Jeronimo" u="1"/>
        <s v="Sendero LaFe" u="1"/>
        <s v="Republica" u="1"/>
        <s v="Produccion" u="1"/>
        <s v="Azteca" u="1"/>
        <s v="Mitras" u="1"/>
        <s v="Walmart" u="1"/>
        <s v="S.Apodaca 2" u="1"/>
        <s v="Lincoln 2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P.Lincoln" u="1"/>
        <s v="Sta Catarina" u="1"/>
        <s v="Multiplaza" u="1"/>
        <s v="Huinala" u="1"/>
      </sharedItems>
    </cacheField>
    <cacheField name="Tipo de movimiento" numFmtId="0">
      <sharedItems/>
    </cacheField>
    <cacheField name="Importe_Ingreso" numFmtId="0">
      <sharedItems containsSemiMixedTypes="0" containsString="0" containsNumber="1" containsInteger="1" minValue="0" maxValue="1000"/>
    </cacheField>
    <cacheField name="Importe_Costo" numFmtId="0">
      <sharedItems containsSemiMixedTypes="0" containsString="0" containsNumber="1" containsInteger="1" minValue="0" maxValue="0"/>
    </cacheField>
    <cacheField name="Importe_Gasto" numFmtId="0">
      <sharedItems containsSemiMixedTypes="0" containsString="0" containsNumber="1" containsInteger="1" minValue="0" maxValue="200"/>
    </cacheField>
    <cacheField name="Importe_Inversion" numFmtId="0">
      <sharedItems containsSemiMixedTypes="0" containsString="0" containsNumber="1" containsInteger="1" minValue="0" maxValue="0"/>
    </cacheField>
    <cacheField name="Importe_Inventario_I" numFmtId="0">
      <sharedItems containsSemiMixedTypes="0" containsString="0" containsNumber="1" containsInteger="1" minValue="0" maxValue="0"/>
    </cacheField>
    <cacheField name="Importe_Inventario_F" numFmtId="0">
      <sharedItems containsSemiMixedTypes="0" containsString="0" containsNumber="1" containsInteger="1" minValue="0" maxValue="0"/>
    </cacheField>
    <cacheField name="Detalle de movimiento" numFmtId="0">
      <sharedItems/>
    </cacheField>
    <cacheField name="Informacion Adicional" numFmtId="0">
      <sharedItems/>
    </cacheField>
    <cacheField name="Total" numFmtId="0" formula="Importe_Ingreso+Importe_Inventario_I-Importe_Costo-Importe_Gasto-Importe_Inventario_F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m/>
    <m/>
    <m/>
    <m/>
    <m/>
    <m/>
    <x v="0"/>
    <m/>
  </r>
  <r>
    <m/>
    <x v="0"/>
    <x v="0"/>
    <m/>
    <m/>
    <m/>
    <m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2"/>
    <x v="0"/>
    <x v="0"/>
    <s v="Ingreso"/>
    <n v="500"/>
    <n v="0"/>
    <n v="0"/>
    <n v="0"/>
    <n v="0"/>
    <n v="0"/>
    <s v="Ventas Publico en General (Efectivo)"/>
    <s v="123"/>
  </r>
  <r>
    <n v="4"/>
    <x v="1"/>
    <x v="1"/>
    <s v="Gastos"/>
    <n v="0"/>
    <n v="0"/>
    <n v="200"/>
    <n v="0"/>
    <n v="0"/>
    <n v="0"/>
    <s v="Renta de Oficinas"/>
    <s v="123"/>
  </r>
  <r>
    <n v="3"/>
    <x v="2"/>
    <x v="0"/>
    <s v="Ingreso"/>
    <n v="1000"/>
    <n v="0"/>
    <n v="0"/>
    <n v="0"/>
    <n v="0"/>
    <n v="0"/>
    <s v="Ventas Publico en General (Tarjetas)"/>
    <s v="4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>
  <location ref="A3:I9" firstHeaderRow="0" firstDataRow="1" firstDataCol="2"/>
  <pivotFields count="13">
    <pivotField compact="0" showAll="0" defaultSubtotal="0"/>
    <pivotField axis="axisRow" compact="0" numFmtId="14" showAll="0" defaultSubtotal="0">
      <items count="4">
        <item x="0"/>
        <item x="1"/>
        <item x="2"/>
        <item x="3"/>
      </items>
    </pivotField>
    <pivotField axis="axisRow" compact="0" showAll="0" defaultSubtotal="0">
      <items count="29">
        <item m="1" x="11"/>
        <item x="0"/>
        <item m="1" x="28"/>
        <item m="1" x="15"/>
        <item m="1" x="25"/>
        <item m="1" x="3"/>
        <item m="1" x="9"/>
        <item m="1" x="6"/>
        <item m="1" x="26"/>
        <item m="1" x="23"/>
        <item m="1" x="13"/>
        <item m="1" x="24"/>
        <item m="1" x="16"/>
        <item m="1" x="10"/>
        <item m="1" x="21"/>
        <item x="1"/>
        <item m="1" x="2"/>
        <item m="1" x="5"/>
        <item m="1" x="18"/>
        <item m="1" x="19"/>
        <item m="1" x="8"/>
        <item m="1" x="12"/>
        <item m="1" x="4"/>
        <item m="1" x="22"/>
        <item m="1" x="27"/>
        <item m="1" x="17"/>
        <item m="1" x="14"/>
        <item m="1" x="7"/>
        <item m="1" x="20"/>
      </items>
    </pivotField>
    <pivotField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1"/>
    <field x="2"/>
  </rowFields>
  <rowItems count="6">
    <i>
      <x v="1"/>
    </i>
    <i r="1">
      <x v="1"/>
    </i>
    <i r="1">
      <x v="15"/>
    </i>
    <i>
      <x v="2"/>
    </i>
    <i r="1"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Importe Ingreso" fld="4" baseField="0" baseItem="0"/>
    <dataField name=" Importe Costo" fld="5" baseField="0" baseItem="0"/>
    <dataField name="Importe Gasto" fld="6" baseField="0" baseItem="0"/>
    <dataField name="Importe Inversion" fld="7" baseField="0" baseItem="0"/>
    <dataField name="Importe Inventario_I" fld="8" baseField="0" baseItem="0"/>
    <dataField name="Importe Inventario_F" fld="9" baseField="0" baseItem="0"/>
    <dataField name="Suma de Total" fld="12" baseField="0" baseItem="0"/>
  </dataFields>
  <formats count="9">
    <format dxfId="84">
      <pivotArea outline="0" collapsedLevelsAreSubtotals="1" fieldPosition="0"/>
    </format>
    <format dxfId="8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outline="1" outlineData="1" compactData="0" multipleFieldFilters="0">
  <location ref="A3:E7" firstHeaderRow="0" firstDataRow="1" firstDataCol="3"/>
  <pivotFields count="11">
    <pivotField compact="0" showAll="0"/>
    <pivotField axis="axisRow" compact="0" showAll="0" sortType="ascending">
      <items count="10">
        <item m="1" x="5"/>
        <item m="1" x="7"/>
        <item m="1" x="1"/>
        <item m="1" x="2"/>
        <item m="1" x="4"/>
        <item m="1" x="3"/>
        <item m="1" x="6"/>
        <item m="1" x="8"/>
        <item x="0"/>
        <item t="default"/>
      </items>
    </pivotField>
    <pivotField axis="axisRow" compact="0" showAll="0">
      <items count="24">
        <item m="1" x="19"/>
        <item m="1" x="21"/>
        <item m="1" x="17"/>
        <item m="1" x="5"/>
        <item m="1" x="3"/>
        <item m="1" x="9"/>
        <item m="1" x="22"/>
        <item m="1" x="2"/>
        <item m="1" x="7"/>
        <item m="1" x="1"/>
        <item m="1" x="6"/>
        <item m="1" x="12"/>
        <item m="1" x="4"/>
        <item m="1" x="20"/>
        <item m="1" x="18"/>
        <item m="1" x="14"/>
        <item m="1" x="10"/>
        <item x="0"/>
        <item m="1" x="15"/>
        <item m="1" x="11"/>
        <item m="1" x="8"/>
        <item m="1" x="13"/>
        <item m="1" x="16"/>
        <item t="default"/>
      </items>
    </pivotField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axis="axisRow" compact="0" showAll="0">
      <items count="239">
        <item m="1" x="191"/>
        <item m="1" x="75"/>
        <item m="1" x="117"/>
        <item m="1" x="60"/>
        <item m="1" x="5"/>
        <item m="1" x="205"/>
        <item m="1" x="149"/>
        <item m="1" x="90"/>
        <item m="1" x="11"/>
        <item m="1" x="212"/>
        <item m="1" x="163"/>
        <item m="1" x="107"/>
        <item m="1" x="118"/>
        <item m="1" x="202"/>
        <item m="1" x="214"/>
        <item m="1" x="88"/>
        <item m="1" x="110"/>
        <item m="1" x="95"/>
        <item m="1" x="39"/>
        <item m="1" x="158"/>
        <item m="1" x="36"/>
        <item m="1" x="56"/>
        <item m="1" x="168"/>
        <item m="1" x="69"/>
        <item m="1" x="206"/>
        <item m="1" x="185"/>
        <item m="1" x="120"/>
        <item m="1" x="103"/>
        <item m="1" x="54"/>
        <item m="1" x="35"/>
        <item m="1" x="52"/>
        <item m="1" x="215"/>
        <item m="1" x="183"/>
        <item m="1" x="129"/>
        <item m="1" x="85"/>
        <item m="1" x="31"/>
        <item m="1" x="148"/>
        <item m="1" x="47"/>
        <item m="1" x="189"/>
        <item m="1" x="131"/>
        <item m="1" x="174"/>
        <item m="1" x="216"/>
        <item m="1" x="28"/>
        <item m="1" x="208"/>
        <item m="1" x="116"/>
        <item m="1" x="193"/>
        <item m="1" x="186"/>
        <item m="1" x="134"/>
        <item m="1" x="161"/>
        <item m="1" x="33"/>
        <item m="1" x="37"/>
        <item m="1" x="228"/>
        <item m="1" x="204"/>
        <item m="1" x="209"/>
        <item m="1" x="218"/>
        <item m="1" x="13"/>
        <item m="1" x="211"/>
        <item m="1" x="151"/>
        <item m="1" x="181"/>
        <item m="1" x="10"/>
        <item m="1" x="63"/>
        <item m="1" x="203"/>
        <item m="1" x="179"/>
        <item m="1" x="152"/>
        <item m="1" x="234"/>
        <item m="1" x="232"/>
        <item m="1" x="146"/>
        <item x="0"/>
        <item m="1" x="74"/>
        <item m="1" x="15"/>
        <item m="1" x="165"/>
        <item m="1" x="231"/>
        <item m="1" x="81"/>
        <item m="1" x="223"/>
        <item m="1" x="8"/>
        <item m="1" x="122"/>
        <item m="1" x="170"/>
        <item m="1" x="154"/>
        <item m="1" x="49"/>
        <item m="1" x="109"/>
        <item m="1" x="182"/>
        <item m="1" x="19"/>
        <item m="1" x="89"/>
        <item m="1" x="156"/>
        <item m="1" x="64"/>
        <item m="1" x="124"/>
        <item m="1" x="100"/>
        <item m="1" x="66"/>
        <item m="1" x="160"/>
        <item m="1" x="87"/>
        <item m="1" x="184"/>
        <item m="1" x="57"/>
        <item m="1" x="125"/>
        <item m="1" x="115"/>
        <item m="1" x="55"/>
        <item m="1" x="73"/>
        <item m="1" x="173"/>
        <item m="1" x="4"/>
        <item m="1" x="229"/>
        <item m="1" x="65"/>
        <item m="1" x="175"/>
        <item m="1" x="166"/>
        <item m="1" x="18"/>
        <item m="1" x="80"/>
        <item m="1" x="141"/>
        <item m="1" x="176"/>
        <item m="1" x="198"/>
        <item m="1" x="225"/>
        <item m="1" x="99"/>
        <item m="1" x="236"/>
        <item m="1" x="217"/>
        <item m="1" x="138"/>
        <item m="1" x="137"/>
        <item m="1" x="133"/>
        <item m="1" x="92"/>
        <item m="1" x="23"/>
        <item m="1" x="97"/>
        <item m="1" x="38"/>
        <item m="1" x="104"/>
        <item m="1" x="58"/>
        <item m="1" x="150"/>
        <item m="1" x="24"/>
        <item m="1" x="34"/>
        <item m="1" x="192"/>
        <item m="1" x="171"/>
        <item m="1" x="226"/>
        <item m="1" x="93"/>
        <item m="1" x="94"/>
        <item m="1" x="188"/>
        <item m="1" x="46"/>
        <item m="1" x="96"/>
        <item m="1" x="16"/>
        <item m="1" x="1"/>
        <item m="1" x="113"/>
        <item m="1" x="72"/>
        <item m="1" x="61"/>
        <item m="1" x="197"/>
        <item m="1" x="155"/>
        <item m="1" x="48"/>
        <item m="1" x="71"/>
        <item m="1" x="79"/>
        <item m="1" x="70"/>
        <item m="1" x="153"/>
        <item m="1" x="106"/>
        <item m="1" x="128"/>
        <item m="1" x="111"/>
        <item m="1" x="121"/>
        <item m="1" x="201"/>
        <item m="1" x="101"/>
        <item m="1" x="7"/>
        <item m="1" x="98"/>
        <item m="1" x="199"/>
        <item m="1" x="219"/>
        <item m="1" x="220"/>
        <item m="1" x="230"/>
        <item m="1" x="167"/>
        <item m="1" x="62"/>
        <item m="1" x="145"/>
        <item m="1" x="159"/>
        <item m="1" x="78"/>
        <item m="1" x="30"/>
        <item m="1" x="45"/>
        <item m="1" x="67"/>
        <item m="1" x="91"/>
        <item m="1" x="86"/>
        <item m="1" x="157"/>
        <item m="1" x="108"/>
        <item m="1" x="123"/>
        <item m="1" x="178"/>
        <item m="1" x="119"/>
        <item m="1" x="164"/>
        <item m="1" x="187"/>
        <item m="1" x="82"/>
        <item m="1" x="169"/>
        <item m="1" x="210"/>
        <item m="1" x="127"/>
        <item m="1" x="237"/>
        <item m="1" x="43"/>
        <item m="1" x="9"/>
        <item m="1" x="177"/>
        <item m="1" x="143"/>
        <item m="1" x="221"/>
        <item m="1" x="22"/>
        <item m="1" x="136"/>
        <item m="1" x="213"/>
        <item m="1" x="222"/>
        <item m="1" x="40"/>
        <item m="1" x="41"/>
        <item m="1" x="196"/>
        <item m="1" x="126"/>
        <item m="1" x="21"/>
        <item m="1" x="29"/>
        <item m="1" x="190"/>
        <item m="1" x="139"/>
        <item m="1" x="144"/>
        <item m="1" x="112"/>
        <item m="1" x="59"/>
        <item m="1" x="20"/>
        <item m="1" x="132"/>
        <item m="1" x="6"/>
        <item m="1" x="17"/>
        <item m="1" x="14"/>
        <item m="1" x="227"/>
        <item m="1" x="44"/>
        <item m="1" x="135"/>
        <item m="1" x="172"/>
        <item m="1" x="84"/>
        <item m="1" x="162"/>
        <item m="1" x="68"/>
        <item m="1" x="114"/>
        <item m="1" x="130"/>
        <item m="1" x="77"/>
        <item m="1" x="42"/>
        <item m="1" x="83"/>
        <item m="1" x="2"/>
        <item m="1" x="25"/>
        <item m="1" x="207"/>
        <item m="1" x="12"/>
        <item m="1" x="195"/>
        <item m="1" x="233"/>
        <item m="1" x="235"/>
        <item m="1" x="50"/>
        <item m="1" x="32"/>
        <item m="1" x="224"/>
        <item m="1" x="194"/>
        <item m="1" x="200"/>
        <item m="1" x="142"/>
        <item m="1" x="51"/>
        <item m="1" x="26"/>
        <item m="1" x="27"/>
        <item m="1" x="102"/>
        <item m="1" x="147"/>
        <item m="1" x="180"/>
        <item m="1" x="3"/>
        <item m="1" x="53"/>
        <item m="1" x="76"/>
        <item m="1" x="105"/>
        <item m="1" x="140"/>
        <item t="default"/>
      </items>
    </pivotField>
    <pivotField compact="0" showAll="0"/>
  </pivotFields>
  <rowFields count="3">
    <field x="1"/>
    <field x="2"/>
    <field x="9"/>
  </rowFields>
  <rowItems count="4">
    <i>
      <x v="8"/>
    </i>
    <i r="1">
      <x v="17"/>
    </i>
    <i r="2">
      <x v="67"/>
    </i>
    <i t="grand">
      <x/>
    </i>
  </rowItems>
  <colFields count="1">
    <field x="-2"/>
  </colFields>
  <colItems count="2">
    <i>
      <x/>
    </i>
    <i i="1">
      <x v="1"/>
    </i>
  </colItems>
  <dataFields count="2">
    <dataField name="/Importe_Ingreso" fld="5" baseField="0" baseItem="0"/>
    <dataField name="/ Importe_Egresos" fld="6" baseField="0" baseItem="0"/>
  </dataFields>
  <formats count="62">
    <format dxfId="75">
      <pivotArea outline="0" collapsedLevelsAreSubtotals="1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0"/>
          </reference>
          <reference field="9" count="3">
            <x v="1"/>
            <x v="19"/>
            <x v="33"/>
          </reference>
        </references>
      </pivotArea>
    </format>
    <format dxfId="72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9" count="1">
            <x v="67"/>
          </reference>
        </references>
      </pivotArea>
    </format>
    <format dxfId="7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9" count="1">
            <x v="12"/>
          </reference>
        </references>
      </pivotArea>
    </format>
    <format dxfId="70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9" count="1">
            <x v="48"/>
          </reference>
        </references>
      </pivotArea>
    </format>
    <format dxfId="69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0"/>
          </reference>
        </references>
      </pivotArea>
    </format>
    <format dxfId="68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7"/>
          </reference>
        </references>
      </pivotArea>
    </format>
    <format dxfId="6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2"/>
          </reference>
        </references>
      </pivotArea>
    </format>
    <format dxfId="6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6"/>
          </reference>
          <reference field="9" count="1">
            <x v="34"/>
          </reference>
        </references>
      </pivotArea>
    </format>
    <format dxfId="65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4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3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2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24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25"/>
          </reference>
        </references>
      </pivotArea>
    </format>
    <format dxfId="5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6"/>
          </reference>
        </references>
      </pivotArea>
    </format>
    <format dxfId="5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7"/>
          </reference>
        </references>
      </pivotArea>
    </format>
    <format dxfId="57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56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55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22"/>
          </reference>
        </references>
      </pivotArea>
    </format>
    <format dxfId="54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37"/>
          </reference>
        </references>
      </pivotArea>
    </format>
    <format dxfId="5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35"/>
          </reference>
        </references>
      </pivotArea>
    </format>
    <format dxfId="52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56"/>
          </reference>
        </references>
      </pivotArea>
    </format>
    <format dxfId="5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15"/>
          </reference>
        </references>
      </pivotArea>
    </format>
    <format dxfId="50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0"/>
          </reference>
          <reference field="9" count="1">
            <x v="29"/>
          </reference>
        </references>
      </pivotArea>
    </format>
    <format dxfId="4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1"/>
          </reference>
          <reference field="9" count="1">
            <x v="58"/>
          </reference>
        </references>
      </pivotArea>
    </format>
    <format dxfId="4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4"/>
          </reference>
          <reference field="9" count="1">
            <x v="48"/>
          </reference>
        </references>
      </pivotArea>
    </format>
    <format dxfId="4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5"/>
          </reference>
          <reference field="9" count="1">
            <x v="61"/>
          </reference>
        </references>
      </pivotArea>
    </format>
    <format dxfId="4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90"/>
          </reference>
        </references>
      </pivotArea>
    </format>
    <format dxfId="45">
      <pivotArea collapsedLevelsAreSubtotals="1" fieldPosition="0">
        <references count="2">
          <reference field="1" count="1" selected="0">
            <x v="6"/>
          </reference>
          <reference field="2" count="1">
            <x v="0"/>
          </reference>
        </references>
      </pivotArea>
    </format>
    <format dxfId="44">
      <pivotArea collapsedLevelsAreSubtotals="1" fieldPosition="0">
        <references count="3">
          <reference field="1" count="1" selected="0">
            <x v="6"/>
          </reference>
          <reference field="2" count="1" selected="0">
            <x v="0"/>
          </reference>
          <reference field="9" count="7">
            <x v="69"/>
            <x v="70"/>
            <x v="74"/>
            <x v="80"/>
            <x v="83"/>
            <x v="84"/>
            <x v="91"/>
          </reference>
        </references>
      </pivotArea>
    </format>
    <format dxfId="43">
      <pivotArea collapsedLevelsAreSubtotals="1" fieldPosition="0">
        <references count="2">
          <reference field="1" count="1" selected="0">
            <x v="6"/>
          </reference>
          <reference field="2" count="1">
            <x v="1"/>
          </reference>
        </references>
      </pivotArea>
    </format>
    <format dxfId="42">
      <pivotArea collapsedLevelsAreSubtotals="1" fieldPosition="0">
        <references count="3">
          <reference field="1" count="1" selected="0">
            <x v="6"/>
          </reference>
          <reference field="2" count="1" selected="0">
            <x v="1"/>
          </reference>
          <reference field="9" count="4">
            <x v="15"/>
            <x v="36"/>
            <x v="66"/>
            <x v="76"/>
          </reference>
        </references>
      </pivotArea>
    </format>
    <format dxfId="41">
      <pivotArea collapsedLevelsAreSubtotals="1" fieldPosition="0">
        <references count="2">
          <reference field="1" count="1" selected="0">
            <x v="6"/>
          </reference>
          <reference field="2" count="1">
            <x v="2"/>
          </reference>
        </references>
      </pivotArea>
    </format>
    <format dxfId="40">
      <pivotArea collapsedLevelsAreSubtotals="1" fieldPosition="0">
        <references count="3">
          <reference field="1" count="1" selected="0">
            <x v="6"/>
          </reference>
          <reference field="2" count="1" selected="0">
            <x v="2"/>
          </reference>
          <reference field="9" count="4">
            <x v="15"/>
            <x v="36"/>
            <x v="64"/>
            <x v="66"/>
          </reference>
        </references>
      </pivotArea>
    </format>
    <format dxfId="39">
      <pivotArea collapsedLevelsAreSubtotals="1" fieldPosition="0">
        <references count="2">
          <reference field="1" count="1" selected="0">
            <x v="6"/>
          </reference>
          <reference field="2" count="1">
            <x v="3"/>
          </reference>
        </references>
      </pivotArea>
    </format>
    <format dxfId="38">
      <pivotArea collapsedLevelsAreSubtotals="1" fieldPosition="0">
        <references count="3">
          <reference field="1" count="1" selected="0">
            <x v="6"/>
          </reference>
          <reference field="2" count="1" selected="0">
            <x v="3"/>
          </reference>
          <reference field="9" count="3">
            <x v="15"/>
            <x v="36"/>
            <x v="66"/>
          </reference>
        </references>
      </pivotArea>
    </format>
    <format dxfId="37">
      <pivotArea collapsedLevelsAreSubtotals="1" fieldPosition="0">
        <references count="2">
          <reference field="1" count="1" selected="0">
            <x v="6"/>
          </reference>
          <reference field="2" count="1">
            <x v="4"/>
          </reference>
        </references>
      </pivotArea>
    </format>
    <format dxfId="36">
      <pivotArea collapsedLevelsAreSubtotals="1" fieldPosition="0">
        <references count="3">
          <reference field="1" count="1" selected="0">
            <x v="6"/>
          </reference>
          <reference field="2" count="1" selected="0">
            <x v="4"/>
          </reference>
          <reference field="9" count="2">
            <x v="36"/>
            <x v="81"/>
          </reference>
        </references>
      </pivotArea>
    </format>
    <format dxfId="35">
      <pivotArea collapsedLevelsAreSubtotals="1" fieldPosition="0">
        <references count="2">
          <reference field="1" count="1" selected="0">
            <x v="6"/>
          </reference>
          <reference field="2" count="1">
            <x v="5"/>
          </reference>
        </references>
      </pivotArea>
    </format>
    <format dxfId="34">
      <pivotArea collapsedLevelsAreSubtotals="1" fieldPosition="0">
        <references count="3">
          <reference field="1" count="1" selected="0">
            <x v="6"/>
          </reference>
          <reference field="2" count="1" selected="0">
            <x v="5"/>
          </reference>
          <reference field="9" count="3">
            <x v="15"/>
            <x v="66"/>
            <x v="71"/>
          </reference>
        </references>
      </pivotArea>
    </format>
    <format dxfId="33">
      <pivotArea collapsedLevelsAreSubtotals="1" fieldPosition="0">
        <references count="2">
          <reference field="1" count="1" selected="0">
            <x v="6"/>
          </reference>
          <reference field="2" count="1">
            <x v="6"/>
          </reference>
        </references>
      </pivotArea>
    </format>
    <format dxfId="32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72"/>
          </reference>
        </references>
      </pivotArea>
    </format>
    <format dxfId="31">
      <pivotArea collapsedLevelsAreSubtotals="1" fieldPosition="0">
        <references count="2">
          <reference field="1" count="1" selected="0">
            <x v="6"/>
          </reference>
          <reference field="2" count="1">
            <x v="7"/>
          </reference>
        </references>
      </pivotArea>
    </format>
    <format dxfId="30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8">
            <x v="16"/>
            <x v="23"/>
            <x v="25"/>
            <x v="27"/>
            <x v="78"/>
            <x v="85"/>
            <x v="88"/>
            <x v="89"/>
          </reference>
        </references>
      </pivotArea>
    </format>
    <format dxfId="29">
      <pivotArea collapsedLevelsAreSubtotals="1" fieldPosition="0">
        <references count="2">
          <reference field="1" count="1" selected="0">
            <x v="6"/>
          </reference>
          <reference field="2" count="1">
            <x v="8"/>
          </reference>
        </references>
      </pivotArea>
    </format>
    <format dxfId="28">
      <pivotArea collapsedLevelsAreSubtotals="1" fieldPosition="0">
        <references count="3">
          <reference field="1" count="1" selected="0">
            <x v="6"/>
          </reference>
          <reference field="2" count="1" selected="0">
            <x v="8"/>
          </reference>
          <reference field="9" count="2">
            <x v="38"/>
            <x v="79"/>
          </reference>
        </references>
      </pivotArea>
    </format>
    <format dxfId="27">
      <pivotArea collapsedLevelsAreSubtotals="1" fieldPosition="0">
        <references count="2">
          <reference field="1" count="1" selected="0">
            <x v="6"/>
          </reference>
          <reference field="2" count="1">
            <x v="9"/>
          </reference>
        </references>
      </pivotArea>
    </format>
    <format dxfId="26">
      <pivotArea collapsedLevelsAreSubtotals="1" fieldPosition="0">
        <references count="3">
          <reference field="1" count="1" selected="0">
            <x v="6"/>
          </reference>
          <reference field="2" count="1" selected="0">
            <x v="9"/>
          </reference>
          <reference field="9" count="5">
            <x v="66"/>
            <x v="77"/>
            <x v="83"/>
            <x v="86"/>
            <x v="87"/>
          </reference>
        </references>
      </pivotArea>
    </format>
    <format dxfId="25">
      <pivotArea collapsedLevelsAreSubtotals="1" fieldPosition="0">
        <references count="2">
          <reference field="1" count="1" selected="0">
            <x v="6"/>
          </reference>
          <reference field="2" count="1">
            <x v="10"/>
          </reference>
        </references>
      </pivotArea>
    </format>
    <format dxfId="24">
      <pivotArea collapsedLevelsAreSubtotals="1" fieldPosition="0">
        <references count="3">
          <reference field="1" count="1" selected="0">
            <x v="6"/>
          </reference>
          <reference field="2" count="1" selected="0">
            <x v="10"/>
          </reference>
          <reference field="9" count="2">
            <x v="73"/>
            <x v="83"/>
          </reference>
        </references>
      </pivotArea>
    </format>
    <format dxfId="23">
      <pivotArea collapsedLevelsAreSubtotals="1" fieldPosition="0">
        <references count="2">
          <reference field="1" count="1" selected="0">
            <x v="6"/>
          </reference>
          <reference field="2" count="1">
            <x v="11"/>
          </reference>
        </references>
      </pivotArea>
    </format>
    <format dxfId="22">
      <pivotArea collapsedLevelsAreSubtotals="1" fieldPosition="0">
        <references count="3">
          <reference field="1" count="1" selected="0">
            <x v="6"/>
          </reference>
          <reference field="2" count="1" selected="0">
            <x v="11"/>
          </reference>
          <reference field="9" count="3">
            <x v="36"/>
            <x v="75"/>
            <x v="83"/>
          </reference>
        </references>
      </pivotArea>
    </format>
    <format dxfId="21">
      <pivotArea collapsedLevelsAreSubtotals="1" fieldPosition="0">
        <references count="2">
          <reference field="1" count="1" selected="0">
            <x v="6"/>
          </reference>
          <reference field="2" count="1">
            <x v="13"/>
          </reference>
        </references>
      </pivotArea>
    </format>
    <format dxfId="20">
      <pivotArea collapsedLevelsAreSubtotals="1" fieldPosition="0">
        <references count="3">
          <reference field="1" count="1" selected="0">
            <x v="6"/>
          </reference>
          <reference field="2" count="1" selected="0">
            <x v="13"/>
          </reference>
          <reference field="9" count="3">
            <x v="15"/>
            <x v="36"/>
            <x v="66"/>
          </reference>
        </references>
      </pivotArea>
    </format>
    <format dxfId="19">
      <pivotArea collapsedLevelsAreSubtotals="1" fieldPosition="0">
        <references count="2">
          <reference field="1" count="1" selected="0">
            <x v="6"/>
          </reference>
          <reference field="2" count="1">
            <x v="14"/>
          </reference>
        </references>
      </pivotArea>
    </format>
    <format dxfId="18">
      <pivotArea collapsedLevelsAreSubtotals="1" fieldPosition="0">
        <references count="3">
          <reference field="1" count="1" selected="0">
            <x v="6"/>
          </reference>
          <reference field="2" count="1" selected="0">
            <x v="14"/>
          </reference>
          <reference field="9" count="6">
            <x v="15"/>
            <x v="36"/>
            <x v="65"/>
            <x v="66"/>
            <x v="82"/>
            <x v="83"/>
          </reference>
        </references>
      </pivotArea>
    </format>
    <format dxfId="17">
      <pivotArea collapsedLevelsAreSubtotals="1" fieldPosition="0">
        <references count="2">
          <reference field="1" count="1" selected="0">
            <x v="6"/>
          </reference>
          <reference field="2" count="1">
            <x v="15"/>
          </reference>
        </references>
      </pivotArea>
    </format>
    <format dxfId="16">
      <pivotArea collapsedLevelsAreSubtotals="1" fieldPosition="0">
        <references count="3">
          <reference field="1" count="1" selected="0">
            <x v="6"/>
          </reference>
          <reference field="2" count="1" selected="0">
            <x v="15"/>
          </reference>
          <reference field="9" count="4">
            <x v="15"/>
            <x v="36"/>
            <x v="65"/>
            <x v="66"/>
          </reference>
        </references>
      </pivotArea>
    </format>
    <format dxfId="15">
      <pivotArea collapsedLevelsAreSubtotals="1" fieldPosition="0">
        <references count="2">
          <reference field="1" count="1" selected="0">
            <x v="6"/>
          </reference>
          <reference field="2" count="1">
            <x v="16"/>
          </reference>
        </references>
      </pivotArea>
    </format>
    <format dxfId="14">
      <pivotArea collapsedLevelsAreSubtotals="1" fieldPosition="0">
        <references count="3">
          <reference field="1" count="1" selected="0">
            <x v="6"/>
          </reference>
          <reference field="2" count="1" selected="0">
            <x v="16"/>
          </reference>
          <reference field="9" count="3">
            <x v="15"/>
            <x v="36"/>
            <x v="6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gistro de movimientos_app.accdb" refreshOnLoad="1" connectionId="3" xr16:uid="{00000000-0016-0000-0100-000000000000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Importe_Ingreso" tableColumnId="5"/>
      <queryTableField id="6" name="Importe_Costo" tableColumnId="6"/>
      <queryTableField id="7" name="Importe_Gasto" tableColumnId="7"/>
      <queryTableField id="8" name="Importe_Inversion" tableColumnId="8"/>
      <queryTableField id="9" name="Importe_Inventario_I" tableColumnId="9"/>
      <queryTableField id="10" name="Importe_Inventario_F" tableColumnId="10"/>
      <queryTableField id="11" name="Detalle de movimiento" tableColumnId="11"/>
      <queryTableField id="12" name="Informacion Adicional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nanciero_app.accdb" refreshOnLoad="1" connectionId="2" xr16:uid="{00000000-0016-0000-02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Fecha" tableColumnId="2"/>
      <queryTableField id="3" name="Tipo de movimiento" tableColumnId="3"/>
      <queryTableField id="4" name="Detalle de movimiento" tableColumnId="4"/>
      <queryTableField id="5" name="Importe_Ingreso" tableColumnId="5"/>
      <queryTableField id="6" name="Importe_Egreso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ja_app.accdb" refreshOnLoad="1" connectionId="1" xr16:uid="{00000000-0016-0000-0400-000002000000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Detalle de movimiento" tableColumnId="5"/>
      <queryTableField id="6" name="Importe_Ingreso" tableColumnId="6"/>
      <queryTableField id="7" name="Importe_Egresos" tableColumnId="7"/>
      <queryTableField id="8" name="Importe_Saldo_I" tableColumnId="8"/>
      <queryTableField id="9" name="Importe_Saldo_F" tableColumnId="9"/>
      <queryTableField id="10" name="Informacion adicional" tableColumnId="10"/>
      <queryTableField id="11" name="Estado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Registro_de_movimientos_app.accdb" displayName="Tabla_Registro_de_movimientos_app.accdb" ref="A1:L4" tableType="queryTable" totalsRowShown="0">
  <autoFilter ref="A1:L4" xr:uid="{00000000-0009-0000-0100-000001000000}"/>
  <sortState xmlns:xlrd2="http://schemas.microsoft.com/office/spreadsheetml/2017/richdata2" ref="A2:L4">
    <sortCondition ref="B1:B51"/>
  </sortState>
  <tableColumns count="12">
    <tableColumn id="1" xr3:uid="{00000000-0010-0000-0000-000001000000}" uniqueName="1" name="Id" queryTableFieldId="1"/>
    <tableColumn id="2" xr3:uid="{00000000-0010-0000-0000-000002000000}" uniqueName="2" name="Fecha" queryTableFieldId="2" dataDxfId="2"/>
    <tableColumn id="3" xr3:uid="{00000000-0010-0000-0000-000003000000}" uniqueName="3" name="Sucursal" queryTableFieldId="3"/>
    <tableColumn id="4" xr3:uid="{00000000-0010-0000-0000-000004000000}" uniqueName="4" name="Tipo de movimiento" queryTableFieldId="4"/>
    <tableColumn id="5" xr3:uid="{00000000-0010-0000-0000-000005000000}" uniqueName="5" name="Importe_Ingreso" queryTableFieldId="5"/>
    <tableColumn id="6" xr3:uid="{00000000-0010-0000-0000-000006000000}" uniqueName="6" name="Importe_Costo" queryTableFieldId="6"/>
    <tableColumn id="7" xr3:uid="{00000000-0010-0000-0000-000007000000}" uniqueName="7" name="Importe_Gasto" queryTableFieldId="7"/>
    <tableColumn id="8" xr3:uid="{00000000-0010-0000-0000-000008000000}" uniqueName="8" name="Importe_Inversion" queryTableFieldId="8"/>
    <tableColumn id="9" xr3:uid="{00000000-0010-0000-0000-000009000000}" uniqueName="9" name="Importe_Inventario_I" queryTableFieldId="9"/>
    <tableColumn id="10" xr3:uid="{00000000-0010-0000-0000-00000A000000}" uniqueName="10" name="Importe_Inventario_F" queryTableFieldId="10"/>
    <tableColumn id="11" xr3:uid="{00000000-0010-0000-0000-00000B000000}" uniqueName="11" name="Detalle de movimiento" queryTableFieldId="11"/>
    <tableColumn id="12" xr3:uid="{00000000-0010-0000-0000-00000C000000}" uniqueName="12" name="Informacion Adicional" queryTableField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_financiero_app.accdb" displayName="Tabla_financiero_app.accdb" ref="A1:F2" tableType="queryTable" insertRow="1" totalsRowShown="0">
  <autoFilter ref="A1:F2" xr:uid="{00000000-0009-0000-0100-000002000000}"/>
  <sortState xmlns:xlrd2="http://schemas.microsoft.com/office/spreadsheetml/2017/richdata2" ref="A2:F2">
    <sortCondition ref="A1:A23"/>
  </sortState>
  <tableColumns count="6">
    <tableColumn id="1" xr3:uid="{00000000-0010-0000-0100-000001000000}" uniqueName="1" name="Id" queryTableFieldId="1"/>
    <tableColumn id="2" xr3:uid="{00000000-0010-0000-0100-000002000000}" uniqueName="2" name="Fecha" queryTableFieldId="2" dataDxfId="1"/>
    <tableColumn id="3" xr3:uid="{00000000-0010-0000-0100-000003000000}" uniqueName="3" name="Tipo de movimiento" queryTableFieldId="3"/>
    <tableColumn id="4" xr3:uid="{00000000-0010-0000-0100-000004000000}" uniqueName="4" name="Detalle de movimiento" queryTableFieldId="4"/>
    <tableColumn id="5" xr3:uid="{00000000-0010-0000-0100-000005000000}" uniqueName="5" name="Importe_Ingreso" queryTableFieldId="5"/>
    <tableColumn id="6" xr3:uid="{00000000-0010-0000-0100-000006000000}" uniqueName="6" name="Importe_Egreso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_caja_app.accdb" displayName="Tabla_caja_app.accdb" ref="A1:K2" tableType="queryTable" insertRow="1" totalsRowShown="0">
  <autoFilter ref="A1:K2" xr:uid="{00000000-0009-0000-0100-000003000000}"/>
  <sortState xmlns:xlrd2="http://schemas.microsoft.com/office/spreadsheetml/2017/richdata2" ref="A2:K2">
    <sortCondition ref="A1:A2"/>
  </sortState>
  <tableColumns count="11">
    <tableColumn id="1" xr3:uid="{00000000-0010-0000-0200-000001000000}" uniqueName="1" name="Id" queryTableFieldId="1"/>
    <tableColumn id="2" xr3:uid="{00000000-0010-0000-0200-000002000000}" uniqueName="2" name="Fecha" queryTableFieldId="2" dataDxfId="0"/>
    <tableColumn id="3" xr3:uid="{00000000-0010-0000-0200-000003000000}" uniqueName="3" name="Sucursal" queryTableFieldId="3"/>
    <tableColumn id="4" xr3:uid="{00000000-0010-0000-0200-000004000000}" uniqueName="4" name="Tipo de movimiento" queryTableFieldId="4"/>
    <tableColumn id="5" xr3:uid="{00000000-0010-0000-0200-000005000000}" uniqueName="5" name="Detalle de movimiento" queryTableFieldId="5"/>
    <tableColumn id="6" xr3:uid="{00000000-0010-0000-0200-000006000000}" uniqueName="6" name="Importe_Ingreso" queryTableFieldId="6"/>
    <tableColumn id="7" xr3:uid="{00000000-0010-0000-0200-000007000000}" uniqueName="7" name="Importe_Egresos" queryTableFieldId="7"/>
    <tableColumn id="8" xr3:uid="{00000000-0010-0000-0200-000008000000}" uniqueName="8" name="Importe_Saldo_I" queryTableFieldId="8"/>
    <tableColumn id="9" xr3:uid="{00000000-0010-0000-0200-000009000000}" uniqueName="9" name="Importe_Saldo_F" queryTableFieldId="9"/>
    <tableColumn id="10" xr3:uid="{00000000-0010-0000-0200-00000A000000}" uniqueName="10" name="Informacion adicional" queryTableFieldId="10"/>
    <tableColumn id="11" xr3:uid="{00000000-0010-0000-0200-00000B000000}" uniqueName="11" name="Estado" queryTableField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I266"/>
  <sheetViews>
    <sheetView zoomScaleNormal="100" workbookViewId="0">
      <selection activeCell="A4" sqref="A4"/>
    </sheetView>
  </sheetViews>
  <sheetFormatPr baseColWidth="10" defaultRowHeight="15" x14ac:dyDescent="0.25"/>
  <cols>
    <col min="1" max="1" width="25" customWidth="1"/>
    <col min="2" max="2" width="10.5703125" bestFit="1" customWidth="1"/>
    <col min="3" max="3" width="9.140625" bestFit="1" customWidth="1"/>
    <col min="4" max="4" width="7" style="3" bestFit="1" customWidth="1"/>
    <col min="5" max="5" width="7.5703125" style="3" bestFit="1" customWidth="1"/>
    <col min="6" max="6" width="5.5703125" style="3" bestFit="1" customWidth="1"/>
    <col min="7" max="8" width="8.140625" style="3" customWidth="1"/>
    <col min="9" max="9" width="9.140625" style="3" bestFit="1" customWidth="1"/>
    <col min="10" max="10" width="28.7109375" bestFit="1" customWidth="1"/>
  </cols>
  <sheetData>
    <row r="2" spans="1:9" ht="15.75" thickBot="1" x14ac:dyDescent="0.3"/>
    <row r="3" spans="1:9" ht="60" x14ac:dyDescent="0.25">
      <c r="A3" s="2" t="s">
        <v>1</v>
      </c>
      <c r="B3" s="2" t="s">
        <v>2</v>
      </c>
      <c r="C3" s="4" t="s">
        <v>15</v>
      </c>
      <c r="D3" s="4" t="s">
        <v>14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13</v>
      </c>
    </row>
    <row r="4" spans="1:9" x14ac:dyDescent="0.25">
      <c r="A4" s="1" t="s">
        <v>251</v>
      </c>
      <c r="C4" s="3"/>
    </row>
    <row r="5" spans="1:9" x14ac:dyDescent="0.25">
      <c r="B5" t="s">
        <v>246</v>
      </c>
      <c r="C5" s="3">
        <v>500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500</v>
      </c>
    </row>
    <row r="6" spans="1:9" x14ac:dyDescent="0.25">
      <c r="B6" t="s">
        <v>153</v>
      </c>
      <c r="C6" s="3">
        <v>0</v>
      </c>
      <c r="D6" s="3">
        <v>0</v>
      </c>
      <c r="E6" s="3">
        <v>200</v>
      </c>
      <c r="F6" s="3">
        <v>0</v>
      </c>
      <c r="G6" s="3">
        <v>0</v>
      </c>
      <c r="H6" s="3">
        <v>0</v>
      </c>
      <c r="I6" s="3">
        <v>-200</v>
      </c>
    </row>
    <row r="7" spans="1:9" x14ac:dyDescent="0.25">
      <c r="A7" s="1" t="s">
        <v>252</v>
      </c>
      <c r="C7" s="3"/>
    </row>
    <row r="8" spans="1:9" x14ac:dyDescent="0.25">
      <c r="B8" t="s">
        <v>246</v>
      </c>
      <c r="C8" s="3">
        <v>1000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1000</v>
      </c>
    </row>
    <row r="9" spans="1:9" x14ac:dyDescent="0.25">
      <c r="A9" s="1" t="s">
        <v>10</v>
      </c>
      <c r="C9" s="3">
        <v>1500</v>
      </c>
      <c r="D9" s="3">
        <v>0</v>
      </c>
      <c r="E9" s="3">
        <v>200</v>
      </c>
      <c r="F9" s="3">
        <v>0</v>
      </c>
      <c r="G9" s="3">
        <v>0</v>
      </c>
      <c r="H9" s="3">
        <v>0</v>
      </c>
      <c r="I9" s="3">
        <v>1300</v>
      </c>
    </row>
    <row r="10" spans="1:9" x14ac:dyDescent="0.25">
      <c r="D10"/>
      <c r="E10"/>
      <c r="F10"/>
      <c r="G10"/>
      <c r="H10"/>
      <c r="I10"/>
    </row>
    <row r="11" spans="1:9" x14ac:dyDescent="0.25">
      <c r="D11"/>
      <c r="E11"/>
      <c r="F11"/>
      <c r="G11"/>
      <c r="H11"/>
      <c r="I11"/>
    </row>
    <row r="12" spans="1:9" x14ac:dyDescent="0.25">
      <c r="D12"/>
      <c r="E12"/>
      <c r="F12"/>
      <c r="G12"/>
      <c r="H12"/>
      <c r="I12"/>
    </row>
    <row r="13" spans="1:9" x14ac:dyDescent="0.25">
      <c r="D13"/>
      <c r="E13"/>
      <c r="F13"/>
      <c r="G13"/>
      <c r="H13"/>
      <c r="I13"/>
    </row>
    <row r="14" spans="1:9" x14ac:dyDescent="0.25">
      <c r="D14"/>
      <c r="E14"/>
      <c r="F14"/>
      <c r="G14"/>
      <c r="H14"/>
      <c r="I14"/>
    </row>
    <row r="15" spans="1:9" x14ac:dyDescent="0.25">
      <c r="D15"/>
      <c r="E15"/>
      <c r="F15"/>
      <c r="G15"/>
      <c r="H15"/>
      <c r="I15"/>
    </row>
    <row r="16" spans="1:9" x14ac:dyDescent="0.25">
      <c r="D16"/>
      <c r="E16"/>
      <c r="F16"/>
      <c r="G16"/>
      <c r="H16"/>
      <c r="I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</sheetData>
  <pageMargins left="0.25" right="0.25" top="0.75" bottom="0.75" header="0.3" footer="0.3"/>
  <pageSetup orientation="landscape" cellComments="atEnd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8">
                <anchor moveWithCells="1" sizeWithCells="1">
                  <from>
                    <xdr:col>0</xdr:col>
                    <xdr:colOff>304800</xdr:colOff>
                    <xdr:row>0</xdr:row>
                    <xdr:rowOff>66675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0</xdr:colOff>
                    <xdr:row>0</xdr:row>
                    <xdr:rowOff>57150</xdr:rowOff>
                  </from>
                  <to>
                    <xdr:col>5</xdr:col>
                    <xdr:colOff>238125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4"/>
  <sheetViews>
    <sheetView workbookViewId="0"/>
  </sheetViews>
  <sheetFormatPr baseColWidth="10" defaultRowHeight="15" x14ac:dyDescent="0.25"/>
  <cols>
    <col min="1" max="1" width="5" bestFit="1" customWidth="1"/>
    <col min="2" max="2" width="10.7109375" bestFit="1" customWidth="1"/>
    <col min="3" max="3" width="10.5703125" bestFit="1" customWidth="1"/>
    <col min="4" max="4" width="21.28515625" bestFit="1" customWidth="1"/>
    <col min="5" max="5" width="18" bestFit="1" customWidth="1"/>
    <col min="6" max="6" width="16.42578125" bestFit="1" customWidth="1"/>
    <col min="7" max="7" width="16.5703125" bestFit="1" customWidth="1"/>
    <col min="8" max="8" width="19.85546875" bestFit="1" customWidth="1"/>
    <col min="9" max="9" width="22.28515625" bestFit="1" customWidth="1"/>
    <col min="10" max="10" width="22.7109375" bestFit="1" customWidth="1"/>
    <col min="11" max="11" width="33.85546875" bestFit="1" customWidth="1"/>
    <col min="12" max="12" width="22.855468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">
        <v>224</v>
      </c>
    </row>
    <row r="2" spans="1:12" x14ac:dyDescent="0.25">
      <c r="A2">
        <v>2</v>
      </c>
      <c r="B2" s="1">
        <v>45050</v>
      </c>
      <c r="C2" t="s">
        <v>246</v>
      </c>
      <c r="D2" t="s">
        <v>247</v>
      </c>
      <c r="E2">
        <v>500</v>
      </c>
      <c r="F2">
        <v>0</v>
      </c>
      <c r="G2">
        <v>0</v>
      </c>
      <c r="H2">
        <v>0</v>
      </c>
      <c r="I2">
        <v>0</v>
      </c>
      <c r="J2">
        <v>0</v>
      </c>
      <c r="K2" t="s">
        <v>86</v>
      </c>
      <c r="L2" t="s">
        <v>248</v>
      </c>
    </row>
    <row r="3" spans="1:12" x14ac:dyDescent="0.25">
      <c r="A3">
        <v>4</v>
      </c>
      <c r="B3" s="1">
        <v>45051</v>
      </c>
      <c r="C3" t="s">
        <v>153</v>
      </c>
      <c r="D3" t="s">
        <v>250</v>
      </c>
      <c r="E3">
        <v>0</v>
      </c>
      <c r="F3">
        <v>0</v>
      </c>
      <c r="G3">
        <v>200</v>
      </c>
      <c r="H3">
        <v>0</v>
      </c>
      <c r="I3">
        <v>0</v>
      </c>
      <c r="J3">
        <v>0</v>
      </c>
      <c r="K3" t="s">
        <v>139</v>
      </c>
      <c r="L3" t="s">
        <v>248</v>
      </c>
    </row>
    <row r="4" spans="1:12" x14ac:dyDescent="0.25">
      <c r="A4">
        <v>3</v>
      </c>
      <c r="B4" s="1">
        <v>45057</v>
      </c>
      <c r="C4" t="s">
        <v>246</v>
      </c>
      <c r="D4" t="s">
        <v>247</v>
      </c>
      <c r="E4">
        <v>1000</v>
      </c>
      <c r="F4">
        <v>0</v>
      </c>
      <c r="G4">
        <v>0</v>
      </c>
      <c r="H4">
        <v>0</v>
      </c>
      <c r="I4">
        <v>0</v>
      </c>
      <c r="J4">
        <v>0</v>
      </c>
      <c r="K4" t="s">
        <v>87</v>
      </c>
      <c r="L4" t="s">
        <v>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2"/>
  <sheetViews>
    <sheetView workbookViewId="0">
      <selection activeCell="E33" sqref="E33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21.28515625" bestFit="1" customWidth="1"/>
    <col min="4" max="4" width="24" bestFit="1" customWidth="1"/>
    <col min="5" max="5" width="18" bestFit="1" customWidth="1"/>
    <col min="6" max="6" width="17.28515625" bestFit="1" customWidth="1"/>
  </cols>
  <sheetData>
    <row r="1" spans="1:6" x14ac:dyDescent="0.25">
      <c r="A1" t="s">
        <v>0</v>
      </c>
      <c r="B1" t="s">
        <v>1</v>
      </c>
      <c r="C1" t="s">
        <v>3</v>
      </c>
      <c r="D1" t="s">
        <v>11</v>
      </c>
      <c r="E1" t="s">
        <v>4</v>
      </c>
      <c r="F1" t="s">
        <v>170</v>
      </c>
    </row>
    <row r="2" spans="1:6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3:G443"/>
  <sheetViews>
    <sheetView workbookViewId="0">
      <selection activeCell="F444" sqref="F444"/>
    </sheetView>
  </sheetViews>
  <sheetFormatPr baseColWidth="10" defaultRowHeight="15" x14ac:dyDescent="0.25"/>
  <cols>
    <col min="1" max="1" width="20.28515625" customWidth="1"/>
    <col min="2" max="2" width="24" style="3" bestFit="1" customWidth="1"/>
    <col min="3" max="3" width="22.5703125" style="3" bestFit="1" customWidth="1"/>
    <col min="4" max="4" width="16.7109375" style="3" bestFit="1" customWidth="1"/>
    <col min="5" max="5" width="17.28515625" style="3" bestFit="1" customWidth="1"/>
    <col min="6" max="6" width="17" bestFit="1" customWidth="1"/>
    <col min="7" max="7" width="24.28515625" bestFit="1" customWidth="1"/>
  </cols>
  <sheetData>
    <row r="3" spans="1:5" x14ac:dyDescent="0.25">
      <c r="A3" s="2" t="s">
        <v>1</v>
      </c>
      <c r="B3" s="2" t="s">
        <v>2</v>
      </c>
      <c r="C3" s="2" t="s">
        <v>203</v>
      </c>
      <c r="D3" s="3" t="s">
        <v>243</v>
      </c>
      <c r="E3" s="3" t="s">
        <v>244</v>
      </c>
    </row>
    <row r="4" spans="1:5" x14ac:dyDescent="0.25">
      <c r="A4" t="s">
        <v>242</v>
      </c>
      <c r="B4"/>
      <c r="C4"/>
    </row>
    <row r="5" spans="1:5" x14ac:dyDescent="0.25">
      <c r="B5" t="s">
        <v>242</v>
      </c>
      <c r="C5"/>
    </row>
    <row r="6" spans="1:5" x14ac:dyDescent="0.25">
      <c r="B6"/>
      <c r="C6" t="s">
        <v>242</v>
      </c>
    </row>
    <row r="7" spans="1:5" x14ac:dyDescent="0.25">
      <c r="A7" t="s">
        <v>10</v>
      </c>
      <c r="B7"/>
      <c r="C7"/>
    </row>
    <row r="8" spans="1:5" x14ac:dyDescent="0.25">
      <c r="B8"/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spans="2:6" x14ac:dyDescent="0.25">
      <c r="B33"/>
      <c r="C33"/>
      <c r="D33"/>
      <c r="E33"/>
    </row>
    <row r="34" spans="2:6" x14ac:dyDescent="0.25">
      <c r="B34"/>
      <c r="C34"/>
      <c r="D34"/>
      <c r="E34"/>
      <c r="F34" s="212"/>
    </row>
    <row r="35" spans="2:6" x14ac:dyDescent="0.25">
      <c r="B35"/>
      <c r="C35"/>
      <c r="D35"/>
      <c r="E35"/>
    </row>
    <row r="36" spans="2:6" x14ac:dyDescent="0.25">
      <c r="B36"/>
      <c r="C36"/>
      <c r="D36"/>
      <c r="E36"/>
    </row>
    <row r="37" spans="2:6" x14ac:dyDescent="0.25">
      <c r="B37"/>
      <c r="C37"/>
      <c r="D37"/>
      <c r="E37"/>
    </row>
    <row r="38" spans="2:6" x14ac:dyDescent="0.25">
      <c r="B38"/>
      <c r="C38"/>
      <c r="D38"/>
      <c r="E38"/>
    </row>
    <row r="39" spans="2:6" x14ac:dyDescent="0.25">
      <c r="B39"/>
      <c r="C39"/>
      <c r="D39"/>
      <c r="E39"/>
    </row>
    <row r="40" spans="2:6" x14ac:dyDescent="0.25">
      <c r="B40"/>
      <c r="C40"/>
      <c r="D40"/>
      <c r="E40"/>
    </row>
    <row r="41" spans="2:6" x14ac:dyDescent="0.25">
      <c r="B41"/>
      <c r="C41"/>
      <c r="D41"/>
      <c r="E41"/>
    </row>
    <row r="42" spans="2:6" x14ac:dyDescent="0.25">
      <c r="B42"/>
      <c r="C42"/>
      <c r="D42"/>
      <c r="E42"/>
    </row>
    <row r="43" spans="2:6" x14ac:dyDescent="0.25">
      <c r="B43"/>
      <c r="C43"/>
      <c r="D43"/>
      <c r="E43"/>
    </row>
    <row r="44" spans="2:6" x14ac:dyDescent="0.25">
      <c r="B44"/>
      <c r="C44"/>
      <c r="D44"/>
      <c r="E44"/>
    </row>
    <row r="45" spans="2:6" x14ac:dyDescent="0.25">
      <c r="B45"/>
      <c r="C45"/>
      <c r="D45"/>
      <c r="E45"/>
    </row>
    <row r="46" spans="2:6" x14ac:dyDescent="0.25">
      <c r="B46"/>
      <c r="C46"/>
      <c r="D46"/>
      <c r="E46"/>
    </row>
    <row r="47" spans="2:6" x14ac:dyDescent="0.25">
      <c r="B47"/>
      <c r="C47"/>
      <c r="D47"/>
      <c r="E47"/>
    </row>
    <row r="48" spans="2:6" x14ac:dyDescent="0.25">
      <c r="B48"/>
      <c r="C48"/>
      <c r="D48"/>
      <c r="E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spans="2:7" x14ac:dyDescent="0.25">
      <c r="B65"/>
      <c r="C65"/>
      <c r="D65"/>
      <c r="E65"/>
    </row>
    <row r="66" spans="2:7" x14ac:dyDescent="0.25">
      <c r="B66"/>
      <c r="C66"/>
      <c r="D66"/>
      <c r="E66"/>
    </row>
    <row r="67" spans="2:7" x14ac:dyDescent="0.25">
      <c r="B67"/>
      <c r="C67"/>
      <c r="D67"/>
      <c r="E67"/>
    </row>
    <row r="68" spans="2:7" x14ac:dyDescent="0.25">
      <c r="B68"/>
      <c r="C68"/>
      <c r="D68"/>
      <c r="E68"/>
    </row>
    <row r="69" spans="2:7" x14ac:dyDescent="0.25">
      <c r="B69"/>
      <c r="C69"/>
      <c r="D69"/>
      <c r="E69"/>
    </row>
    <row r="70" spans="2:7" x14ac:dyDescent="0.25">
      <c r="B70"/>
      <c r="C70"/>
      <c r="D70"/>
      <c r="E70"/>
    </row>
    <row r="71" spans="2:7" x14ac:dyDescent="0.25">
      <c r="B71"/>
      <c r="C71"/>
      <c r="D71"/>
      <c r="E71"/>
    </row>
    <row r="72" spans="2:7" x14ac:dyDescent="0.25">
      <c r="B72"/>
      <c r="C72"/>
      <c r="D72"/>
      <c r="E72"/>
      <c r="G72" t="e">
        <f>+GETPIVOTDATA("/ Importe_Egresos",$A$3,"Fecha",DATE(2023,4,11),"Sucursal","T. Apodaca","Informacion adicional","PARA DEPOSITO BANCARIO")/2</f>
        <v>#REF!</v>
      </c>
    </row>
    <row r="73" spans="2:7" x14ac:dyDescent="0.25">
      <c r="B73"/>
      <c r="C73"/>
      <c r="D73"/>
      <c r="E73"/>
    </row>
    <row r="74" spans="2:7" x14ac:dyDescent="0.25">
      <c r="B74"/>
      <c r="C74"/>
      <c r="D74"/>
      <c r="E74"/>
    </row>
    <row r="75" spans="2:7" x14ac:dyDescent="0.25">
      <c r="B75"/>
      <c r="C75"/>
      <c r="D75"/>
      <c r="E75"/>
    </row>
    <row r="76" spans="2:7" x14ac:dyDescent="0.25">
      <c r="B76"/>
      <c r="C76"/>
      <c r="D76"/>
      <c r="E76"/>
    </row>
    <row r="77" spans="2:7" x14ac:dyDescent="0.25">
      <c r="B77"/>
      <c r="C77"/>
      <c r="D77"/>
      <c r="E77"/>
    </row>
    <row r="78" spans="2:7" x14ac:dyDescent="0.25">
      <c r="B78"/>
      <c r="C78"/>
      <c r="D78"/>
      <c r="E78"/>
    </row>
    <row r="79" spans="2:7" x14ac:dyDescent="0.25">
      <c r="B79"/>
      <c r="C79"/>
      <c r="D79"/>
      <c r="E79"/>
    </row>
    <row r="80" spans="2:7" x14ac:dyDescent="0.25">
      <c r="B80"/>
      <c r="C80"/>
      <c r="D80"/>
      <c r="E80"/>
    </row>
    <row r="81" spans="2:6" x14ac:dyDescent="0.25">
      <c r="B81"/>
      <c r="C81"/>
      <c r="D81"/>
      <c r="E81"/>
    </row>
    <row r="82" spans="2:6" x14ac:dyDescent="0.25">
      <c r="B82"/>
      <c r="C82"/>
      <c r="D82"/>
      <c r="E82"/>
    </row>
    <row r="83" spans="2:6" x14ac:dyDescent="0.25">
      <c r="B83"/>
      <c r="C83"/>
      <c r="D83"/>
      <c r="E83"/>
    </row>
    <row r="84" spans="2:6" x14ac:dyDescent="0.25">
      <c r="B84"/>
      <c r="C84"/>
      <c r="D84"/>
      <c r="E84"/>
      <c r="F84">
        <f>165983.38+23776.49+149385.03</f>
        <v>339144.9</v>
      </c>
    </row>
    <row r="85" spans="2:6" x14ac:dyDescent="0.25">
      <c r="B85"/>
      <c r="C85"/>
      <c r="D85"/>
      <c r="E85"/>
    </row>
    <row r="86" spans="2:6" x14ac:dyDescent="0.25">
      <c r="B86"/>
      <c r="C86"/>
      <c r="D86"/>
      <c r="E86"/>
    </row>
    <row r="87" spans="2:6" x14ac:dyDescent="0.25">
      <c r="B87"/>
      <c r="C87"/>
      <c r="D87"/>
      <c r="E87"/>
    </row>
    <row r="88" spans="2:6" x14ac:dyDescent="0.25">
      <c r="B88"/>
      <c r="C88"/>
      <c r="D88"/>
      <c r="E88"/>
    </row>
    <row r="89" spans="2:6" x14ac:dyDescent="0.25">
      <c r="B89"/>
      <c r="C89"/>
      <c r="D89"/>
      <c r="E89"/>
    </row>
    <row r="90" spans="2:6" x14ac:dyDescent="0.25">
      <c r="B90"/>
      <c r="C90"/>
      <c r="D90"/>
      <c r="E90"/>
    </row>
    <row r="91" spans="2:6" x14ac:dyDescent="0.25">
      <c r="B91"/>
      <c r="C91"/>
      <c r="D91"/>
      <c r="E91"/>
    </row>
    <row r="92" spans="2:6" x14ac:dyDescent="0.25">
      <c r="B92"/>
      <c r="C92"/>
      <c r="D92"/>
      <c r="E92"/>
    </row>
    <row r="93" spans="2:6" x14ac:dyDescent="0.25">
      <c r="B93"/>
      <c r="C93"/>
      <c r="D93"/>
      <c r="E93"/>
    </row>
    <row r="94" spans="2:6" x14ac:dyDescent="0.25">
      <c r="B94"/>
      <c r="C94"/>
      <c r="D94"/>
      <c r="E94"/>
    </row>
    <row r="95" spans="2:6" x14ac:dyDescent="0.25">
      <c r="B95"/>
      <c r="C95"/>
      <c r="D95"/>
      <c r="E95"/>
    </row>
    <row r="96" spans="2:6" x14ac:dyDescent="0.25">
      <c r="B96"/>
      <c r="C96"/>
      <c r="D96"/>
      <c r="E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2"/>
  <sheetViews>
    <sheetView topLeftCell="A338" workbookViewId="0">
      <selection activeCell="J20" sqref="J20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10.5703125" bestFit="1" customWidth="1"/>
    <col min="4" max="4" width="21.28515625" bestFit="1" customWidth="1"/>
    <col min="5" max="5" width="24" bestFit="1" customWidth="1"/>
    <col min="6" max="6" width="18" bestFit="1" customWidth="1"/>
    <col min="7" max="7" width="18.140625" bestFit="1" customWidth="1"/>
    <col min="8" max="8" width="17.85546875" bestFit="1" customWidth="1"/>
    <col min="9" max="9" width="18.42578125" bestFit="1" customWidth="1"/>
    <col min="10" max="10" width="22.5703125" bestFit="1" customWidth="1"/>
    <col min="11" max="11" width="9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</row>
    <row r="2" spans="1:11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N88"/>
  <sheetViews>
    <sheetView workbookViewId="0">
      <pane xSplit="1" ySplit="6" topLeftCell="B13" activePane="bottomRight" state="frozen"/>
      <selection pane="topRight" activeCell="B1" sqref="B1"/>
      <selection pane="bottomLeft" activeCell="A7" sqref="A7"/>
      <selection pane="bottomRight" activeCell="B79" sqref="B79"/>
    </sheetView>
  </sheetViews>
  <sheetFormatPr baseColWidth="10" defaultRowHeight="15" x14ac:dyDescent="0.25"/>
  <cols>
    <col min="1" max="1" width="48" bestFit="1" customWidth="1"/>
    <col min="2" max="2" width="12.28515625" bestFit="1" customWidth="1"/>
    <col min="4" max="5" width="0" hidden="1" customWidth="1"/>
    <col min="7" max="7" width="15.28515625" customWidth="1"/>
    <col min="8" max="8" width="14.5703125" hidden="1" customWidth="1"/>
    <col min="9" max="9" width="12.28515625" hidden="1" customWidth="1"/>
    <col min="10" max="10" width="13.5703125" hidden="1" customWidth="1"/>
    <col min="11" max="11" width="0" hidden="1" customWidth="1"/>
    <col min="14" max="14" width="13.7109375" customWidth="1"/>
    <col min="16" max="16" width="14.42578125" customWidth="1"/>
    <col min="22" max="23" width="0" hidden="1" customWidth="1"/>
    <col min="28" max="28" width="14.42578125" hidden="1" customWidth="1"/>
    <col min="29" max="29" width="0" hidden="1" customWidth="1"/>
    <col min="32" max="32" width="14.5703125" customWidth="1"/>
    <col min="34" max="34" width="14.5703125" hidden="1" customWidth="1"/>
    <col min="35" max="35" width="0" hidden="1" customWidth="1"/>
    <col min="36" max="36" width="14.5703125" hidden="1" customWidth="1"/>
    <col min="37" max="37" width="0" hidden="1" customWidth="1"/>
    <col min="39" max="39" width="17" customWidth="1"/>
  </cols>
  <sheetData>
    <row r="1" spans="1:40" x14ac:dyDescent="0.25">
      <c r="A1" t="s">
        <v>31</v>
      </c>
    </row>
    <row r="2" spans="1:40" x14ac:dyDescent="0.25">
      <c r="A2" t="s">
        <v>32</v>
      </c>
    </row>
    <row r="3" spans="1:40" x14ac:dyDescent="0.25">
      <c r="A3" t="s">
        <v>33</v>
      </c>
    </row>
    <row r="4" spans="1:40" x14ac:dyDescent="0.25">
      <c r="B4" s="183">
        <v>45049</v>
      </c>
      <c r="C4" s="183">
        <v>45077</v>
      </c>
      <c r="D4" s="184"/>
      <c r="E4" s="185"/>
      <c r="F4" s="184"/>
      <c r="G4" s="185"/>
      <c r="H4" s="184"/>
      <c r="I4" s="185"/>
      <c r="J4" s="184"/>
      <c r="K4" s="185"/>
      <c r="L4" s="184"/>
      <c r="M4" s="185"/>
      <c r="N4" s="184"/>
      <c r="O4" s="185"/>
      <c r="P4" s="184"/>
      <c r="Q4" s="185"/>
      <c r="R4" s="184"/>
      <c r="S4" s="185"/>
      <c r="T4" s="184"/>
      <c r="U4" s="185"/>
      <c r="V4" s="184"/>
      <c r="W4" s="185"/>
      <c r="X4" s="184"/>
      <c r="Y4" s="185"/>
      <c r="Z4" s="184"/>
      <c r="AA4" s="185"/>
      <c r="AB4" s="185"/>
      <c r="AC4" s="185"/>
      <c r="AD4" s="185"/>
      <c r="AE4" s="185"/>
      <c r="AF4" s="185"/>
      <c r="AG4" s="184"/>
      <c r="AH4" s="185"/>
      <c r="AI4" s="184"/>
      <c r="AJ4" s="185"/>
      <c r="AK4" s="184"/>
      <c r="AL4" s="184"/>
      <c r="AM4" s="217">
        <v>45047</v>
      </c>
      <c r="AN4" s="217"/>
    </row>
    <row r="5" spans="1:40" ht="15.75" thickBot="1" x14ac:dyDescent="0.3">
      <c r="B5" s="216" t="s">
        <v>84</v>
      </c>
      <c r="C5" s="216"/>
      <c r="D5" s="215" t="s">
        <v>34</v>
      </c>
      <c r="E5" s="215"/>
      <c r="F5" s="215" t="s">
        <v>117</v>
      </c>
      <c r="G5" s="215"/>
      <c r="H5" s="215" t="s">
        <v>238</v>
      </c>
      <c r="I5" s="215"/>
      <c r="J5" s="215" t="s">
        <v>122</v>
      </c>
      <c r="K5" s="215"/>
      <c r="L5" s="215" t="s">
        <v>123</v>
      </c>
      <c r="M5" s="215"/>
      <c r="N5" s="215" t="s">
        <v>124</v>
      </c>
      <c r="O5" s="215"/>
      <c r="P5" s="215" t="s">
        <v>83</v>
      </c>
      <c r="Q5" s="215"/>
      <c r="R5" s="215" t="s">
        <v>239</v>
      </c>
      <c r="S5" s="215"/>
      <c r="T5" s="215" t="s">
        <v>125</v>
      </c>
      <c r="U5" s="215"/>
      <c r="V5" s="215" t="s">
        <v>126</v>
      </c>
      <c r="W5" s="215"/>
      <c r="X5" s="215" t="s">
        <v>127</v>
      </c>
      <c r="Y5" s="215"/>
      <c r="Z5" s="215" t="s">
        <v>128</v>
      </c>
      <c r="AA5" s="215"/>
      <c r="AB5" s="215" t="s">
        <v>226</v>
      </c>
      <c r="AC5" s="215"/>
      <c r="AD5" s="215" t="s">
        <v>227</v>
      </c>
      <c r="AE5" s="215"/>
      <c r="AF5" s="215" t="s">
        <v>228</v>
      </c>
      <c r="AG5" s="215"/>
      <c r="AH5" s="215" t="s">
        <v>240</v>
      </c>
      <c r="AI5" s="215"/>
      <c r="AJ5" s="215" t="s">
        <v>241</v>
      </c>
      <c r="AK5" s="215"/>
      <c r="AL5" s="186"/>
      <c r="AM5" s="218"/>
      <c r="AN5" s="218"/>
    </row>
    <row r="6" spans="1:40" ht="15.75" thickTop="1" x14ac:dyDescent="0.25">
      <c r="A6" t="s">
        <v>35</v>
      </c>
      <c r="B6" t="s">
        <v>36</v>
      </c>
      <c r="C6" t="s">
        <v>37</v>
      </c>
      <c r="D6" t="s">
        <v>36</v>
      </c>
      <c r="E6" t="s">
        <v>37</v>
      </c>
    </row>
    <row r="8" spans="1:40" x14ac:dyDescent="0.25">
      <c r="A8" t="s">
        <v>86</v>
      </c>
      <c r="B8" s="6">
        <f>SUMIFS(Tabla_Registro_de_movimientos_app.accdb[Importe_Ingreso],Tabla_Registro_de_movimientos_app.accdb[Sucursal],Sucursal!$B$5,Tabla_Registro_de_movimientos_app.accdb[Detalle de movimiento],Sucursal!$A8,Tabla_Registro_de_movimientos_app.accdb[Fecha],"&gt;"&amp;Sucursal!$B$4,Tabla_Registro_de_movimientos_app.accdb[Fecha],"&lt;="&amp;Sucursal!$C$4)</f>
        <v>0</v>
      </c>
      <c r="C8" s="187">
        <f>IFERROR(B8/B$13,0)</f>
        <v>0</v>
      </c>
      <c r="D8" s="6">
        <f>SUMIFS(Tabla_Registro_de_movimientos_app.accdb[Importe_Ingreso],Tabla_Registro_de_movimientos_app.accdb[Sucursal],Sucursal!D$5,Tabla_Registro_de_movimientos_app.accdb[Detalle de movimiento],Sucursal!$A8,Tabla_Registro_de_movimientos_app.accdb[Fecha],"&gt;"&amp;Sucursal!$B$4,Tabla_Registro_de_movimientos_app.accdb[Fecha],"&lt;="&amp;Sucursal!$C$4)</f>
        <v>0</v>
      </c>
      <c r="E8" s="187" t="e">
        <f>D8/D$13</f>
        <v>#DIV/0!</v>
      </c>
      <c r="F8" s="6">
        <f>SUMIFS(Tabla_Registro_de_movimientos_app.accdb[Importe_Ingreso],Tabla_Registro_de_movimientos_app.accdb[Sucursal],Sucursal!F$5,Tabla_Registro_de_movimientos_app.accdb[Detalle de movimiento],Sucursal!$A8,Tabla_Registro_de_movimientos_app.accdb[Fecha],"&gt;"&amp;Sucursal!$B$4,Tabla_Registro_de_movimientos_app.accdb[Fecha],"&lt;="&amp;Sucursal!$C$4)</f>
        <v>0</v>
      </c>
      <c r="G8" s="187">
        <f>IFERROR(F8/F$13,0)</f>
        <v>0</v>
      </c>
      <c r="H8" s="6">
        <f>SUMIFS(Tabla_Registro_de_movimientos_app.accdb[Importe_Ingreso],Tabla_Registro_de_movimientos_app.accdb[Sucursal],Sucursal!H$5,Tabla_Registro_de_movimientos_app.accdb[Detalle de movimiento],Sucursal!$A8,Tabla_Registro_de_movimientos_app.accdb[Fecha],"&gt;"&amp;Sucursal!$B$4,Tabla_Registro_de_movimientos_app.accdb[Fecha],"&lt;="&amp;Sucursal!$C$4)</f>
        <v>0</v>
      </c>
      <c r="I8" s="187" t="e">
        <f>H8/H$13</f>
        <v>#DIV/0!</v>
      </c>
      <c r="J8" s="6">
        <f>SUMIFS(Tabla_Registro_de_movimientos_app.accdb[Importe_Ingreso],Tabla_Registro_de_movimientos_app.accdb[Sucursal],Sucursal!J$5,Tabla_Registro_de_movimientos_app.accdb[Detalle de movimiento],Sucursal!$A8,Tabla_Registro_de_movimientos_app.accdb[Fecha],"&gt;"&amp;Sucursal!$B$4,Tabla_Registro_de_movimientos_app.accdb[Fecha],"&lt;="&amp;Sucursal!$C$4)</f>
        <v>0</v>
      </c>
      <c r="K8" s="187" t="e">
        <f>J8/J$13</f>
        <v>#DIV/0!</v>
      </c>
      <c r="L8" s="6">
        <f>SUMIFS(Tabla_Registro_de_movimientos_app.accdb[Importe_Ingreso],Tabla_Registro_de_movimientos_app.accdb[Sucursal],Sucursal!L$5,Tabla_Registro_de_movimientos_app.accdb[Detalle de movimiento],Sucursal!$A8,Tabla_Registro_de_movimientos_app.accdb[Fecha],"&gt;"&amp;Sucursal!$B$4,Tabla_Registro_de_movimientos_app.accdb[Fecha],"&lt;="&amp;Sucursal!$C$4)</f>
        <v>0</v>
      </c>
      <c r="M8" s="187">
        <f>IFERROR(L8/L$13,0)</f>
        <v>0</v>
      </c>
      <c r="N8" s="6">
        <f>SUMIFS(Tabla_Registro_de_movimientos_app.accdb[Importe_Ingreso],Tabla_Registro_de_movimientos_app.accdb[Sucursal],Sucursal!N$5,Tabla_Registro_de_movimientos_app.accdb[Detalle de movimiento],Sucursal!$A8,Tabla_Registro_de_movimientos_app.accdb[Fecha],"&gt;"&amp;Sucursal!$B$4,Tabla_Registro_de_movimientos_app.accdb[Fecha],"&lt;="&amp;Sucursal!$C$4)</f>
        <v>0</v>
      </c>
      <c r="O8" s="187" t="e">
        <f>N8/N$13</f>
        <v>#DIV/0!</v>
      </c>
      <c r="P8" s="6">
        <f>SUMIFS(Tabla_Registro_de_movimientos_app.accdb[Importe_Ingreso],Tabla_Registro_de_movimientos_app.accdb[Sucursal],Sucursal!P$5,Tabla_Registro_de_movimientos_app.accdb[Detalle de movimiento],Sucursal!$A8,Tabla_Registro_de_movimientos_app.accdb[Fecha],"&gt;"&amp;Sucursal!$B$4,Tabla_Registro_de_movimientos_app.accdb[Fecha],"&lt;="&amp;Sucursal!$C$4)</f>
        <v>500</v>
      </c>
      <c r="Q8" s="187">
        <f>P8/P$13</f>
        <v>0.33333333333333331</v>
      </c>
      <c r="R8" s="6">
        <f>SUMIFS(Tabla_Registro_de_movimientos_app.accdb[Importe_Ingreso],Tabla_Registro_de_movimientos_app.accdb[Sucursal],Sucursal!R$5,Tabla_Registro_de_movimientos_app.accdb[Detalle de movimiento],Sucursal!$A8,Tabla_Registro_de_movimientos_app.accdb[Fecha],"&gt;"&amp;Sucursal!$B$4,Tabla_Registro_de_movimientos_app.accdb[Fecha],"&lt;="&amp;Sucursal!$C$4)</f>
        <v>0</v>
      </c>
      <c r="S8" s="187" t="e">
        <f>R8/R$13</f>
        <v>#DIV/0!</v>
      </c>
      <c r="T8" s="6">
        <f>SUMIFS(Tabla_Registro_de_movimientos_app.accdb[Importe_Ingreso],Tabla_Registro_de_movimientos_app.accdb[Sucursal],Sucursal!T$5,Tabla_Registro_de_movimientos_app.accdb[Detalle de movimiento],Sucursal!$A8,Tabla_Registro_de_movimientos_app.accdb[Fecha],"&gt;"&amp;Sucursal!$B$4,Tabla_Registro_de_movimientos_app.accdb[Fecha],"&lt;="&amp;Sucursal!$C$4)</f>
        <v>0</v>
      </c>
      <c r="U8" s="187" t="e">
        <f>T8/T$13</f>
        <v>#DIV/0!</v>
      </c>
      <c r="V8" s="6">
        <f>SUMIFS(Tabla_Registro_de_movimientos_app.accdb[Importe_Ingreso],Tabla_Registro_de_movimientos_app.accdb[Sucursal],Sucursal!V$5,Tabla_Registro_de_movimientos_app.accdb[Detalle de movimiento],Sucursal!$A8,Tabla_Registro_de_movimientos_app.accdb[Fecha],"&gt;"&amp;Sucursal!$B$4,Tabla_Registro_de_movimientos_app.accdb[Fecha],"&lt;="&amp;Sucursal!$C$4)</f>
        <v>0</v>
      </c>
      <c r="W8" s="187" t="e">
        <f>V8/V$13</f>
        <v>#DIV/0!</v>
      </c>
      <c r="X8" s="6">
        <f>SUMIFS(Tabla_Registro_de_movimientos_app.accdb[Importe_Ingreso],Tabla_Registro_de_movimientos_app.accdb[Sucursal],Sucursal!X$5,Tabla_Registro_de_movimientos_app.accdb[Detalle de movimiento],Sucursal!$A8,Tabla_Registro_de_movimientos_app.accdb[Fecha],"&gt;"&amp;Sucursal!$B$4,Tabla_Registro_de_movimientos_app.accdb[Fecha],"&lt;="&amp;Sucursal!$C$4)</f>
        <v>0</v>
      </c>
      <c r="Y8" s="187" t="e">
        <f>X8/X$13</f>
        <v>#DIV/0!</v>
      </c>
      <c r="Z8" s="6">
        <f>SUMIFS(Tabla_Registro_de_movimientos_app.accdb[Importe_Ingreso],Tabla_Registro_de_movimientos_app.accdb[Sucursal],Sucursal!Z$5,Tabla_Registro_de_movimientos_app.accdb[Detalle de movimiento],Sucursal!$A8,Tabla_Registro_de_movimientos_app.accdb[Fecha],"&gt;"&amp;Sucursal!$B$4,Tabla_Registro_de_movimientos_app.accdb[Fecha],"&lt;="&amp;Sucursal!$C$4)</f>
        <v>0</v>
      </c>
      <c r="AA8" s="187" t="e">
        <f>Z8/Z$13</f>
        <v>#DIV/0!</v>
      </c>
      <c r="AB8" s="6">
        <f>SUMIFS(Tabla_Registro_de_movimientos_app.accdb[Importe_Ingreso],Tabla_Registro_de_movimientos_app.accdb[Sucursal],Sucursal!AB$5,Tabla_Registro_de_movimientos_app.accdb[Detalle de movimiento],Sucursal!$A8,Tabla_Registro_de_movimientos_app.accdb[Fecha],"&gt;"&amp;Sucursal!$B$4,Tabla_Registro_de_movimientos_app.accdb[Fecha],"&lt;="&amp;Sucursal!$C$4)</f>
        <v>0</v>
      </c>
      <c r="AC8" s="187" t="e">
        <f>AB8/AB$13</f>
        <v>#DIV/0!</v>
      </c>
      <c r="AD8" s="6">
        <f>SUMIFS(Tabla_Registro_de_movimientos_app.accdb[Importe_Ingreso],Tabla_Registro_de_movimientos_app.accdb[Sucursal],Sucursal!AD$5,Tabla_Registro_de_movimientos_app.accdb[Detalle de movimiento],Sucursal!$A8,Tabla_Registro_de_movimientos_app.accdb[Fecha],"&gt;"&amp;Sucursal!$B$4,Tabla_Registro_de_movimientos_app.accdb[Fecha],"&lt;="&amp;Sucursal!$C$4)</f>
        <v>0</v>
      </c>
      <c r="AE8" s="187" t="e">
        <f>AD8/AD$13</f>
        <v>#DIV/0!</v>
      </c>
      <c r="AF8" s="6">
        <f>SUMIFS(Tabla_Registro_de_movimientos_app.accdb[Importe_Ingreso],Tabla_Registro_de_movimientos_app.accdb[Sucursal],Sucursal!AF$5,Tabla_Registro_de_movimientos_app.accdb[Detalle de movimiento],Sucursal!$A8,Tabla_Registro_de_movimientos_app.accdb[Fecha],"&gt;"&amp;Sucursal!$B$4,Tabla_Registro_de_movimientos_app.accdb[Fecha],"&lt;="&amp;Sucursal!$C$4)</f>
        <v>0</v>
      </c>
      <c r="AG8" s="187" t="e">
        <f>AF8/AF$13</f>
        <v>#DIV/0!</v>
      </c>
      <c r="AH8" s="6">
        <f>SUMIFS(Tabla_Registro_de_movimientos_app.accdb[Importe_Ingreso],Tabla_Registro_de_movimientos_app.accdb[Sucursal],Sucursal!AH$5,Tabla_Registro_de_movimientos_app.accdb[Detalle de movimiento],Sucursal!$A8,Tabla_Registro_de_movimientos_app.accdb[Fecha],"&gt;"&amp;Sucursal!$B$4,Tabla_Registro_de_movimientos_app.accdb[Fecha],"&lt;="&amp;Sucursal!$C$4)</f>
        <v>0</v>
      </c>
      <c r="AI8" s="187" t="e">
        <f>AH8/AH$13</f>
        <v>#DIV/0!</v>
      </c>
      <c r="AJ8" s="6">
        <f>SUMIFS(Tabla_Registro_de_movimientos_app.accdb[Importe_Ingreso],Tabla_Registro_de_movimientos_app.accdb[Sucursal],Sucursal!AJ$5,Tabla_Registro_de_movimientos_app.accdb[Detalle de movimiento],Sucursal!$A8,Tabla_Registro_de_movimientos_app.accdb[Fecha],"&gt;"&amp;Sucursal!$B$4,Tabla_Registro_de_movimientos_app.accdb[Fecha],"&lt;="&amp;Sucursal!$C$4)</f>
        <v>0</v>
      </c>
      <c r="AK8" s="187" t="e">
        <f>AJ8/AJ$13</f>
        <v>#DIV/0!</v>
      </c>
      <c r="AM8" s="188">
        <f>SUM(B8,D8,F8,H8,J8,L8,N8,P8,R8,T8,V8,X8,Z8,AB8,AD8,AF8,AH8,AJ8)</f>
        <v>500</v>
      </c>
      <c r="AN8" s="189">
        <f>AM8/$AM$13</f>
        <v>0.33333333333333331</v>
      </c>
    </row>
    <row r="9" spans="1:40" x14ac:dyDescent="0.25">
      <c r="A9" t="s">
        <v>87</v>
      </c>
      <c r="B9" s="6">
        <f>SUMIFS(Tabla_Registro_de_movimientos_app.accdb[Importe_Ingreso],Tabla_Registro_de_movimientos_app.accdb[Sucursal],Sucursal!$B$5,Tabla_Registro_de_movimientos_app.accdb[Detalle de movimiento],Sucursal!A9,Tabla_Registro_de_movimientos_app.accdb[Fecha],"&gt;"&amp;Sucursal!$B$4,Tabla_Registro_de_movimientos_app.accdb[Fecha],"&lt;="&amp;Sucursal!$C$4)</f>
        <v>0</v>
      </c>
      <c r="C9" s="187">
        <f t="shared" ref="C9:C12" si="0">IFERROR(B9/B$13,0)</f>
        <v>0</v>
      </c>
      <c r="D9" s="6">
        <f>SUMIFS(Tabla_Registro_de_movimientos_app.accdb[Importe_Ingreso],Tabla_Registro_de_movimientos_app.accdb[Sucursal],Sucursal!D$5,Tabla_Registro_de_movimientos_app.accdb[Detalle de movimiento],Sucursal!$A9,Tabla_Registro_de_movimientos_app.accdb[Fecha],"&gt;"&amp;Sucursal!$B$4,Tabla_Registro_de_movimientos_app.accdb[Fecha],"&lt;="&amp;Sucursal!$C$4)</f>
        <v>0</v>
      </c>
      <c r="E9" s="187" t="e">
        <f>D9/D$13</f>
        <v>#DIV/0!</v>
      </c>
      <c r="F9" s="6">
        <f>SUMIFS(Tabla_Registro_de_movimientos_app.accdb[Importe_Ingreso],Tabla_Registro_de_movimientos_app.accdb[Sucursal],Sucursal!F$5,Tabla_Registro_de_movimientos_app.accdb[Detalle de movimiento],Sucursal!$A9,Tabla_Registro_de_movimientos_app.accdb[Fecha],"&gt;"&amp;Sucursal!$B$4,Tabla_Registro_de_movimientos_app.accdb[Fecha],"&lt;="&amp;Sucursal!$C$4)</f>
        <v>0</v>
      </c>
      <c r="G9" s="187">
        <f t="shared" ref="G9:G12" si="1">IFERROR(F9/F$13,0)</f>
        <v>0</v>
      </c>
      <c r="H9" s="6">
        <f>SUMIFS(Tabla_Registro_de_movimientos_app.accdb[Importe_Ingreso],Tabla_Registro_de_movimientos_app.accdb[Sucursal],Sucursal!H$5,Tabla_Registro_de_movimientos_app.accdb[Detalle de movimiento],Sucursal!$A9,Tabla_Registro_de_movimientos_app.accdb[Fecha],"&gt;"&amp;Sucursal!$B$4,Tabla_Registro_de_movimientos_app.accdb[Fecha],"&lt;="&amp;Sucursal!$C$4)</f>
        <v>0</v>
      </c>
      <c r="I9" s="187" t="e">
        <f>H9/H$13</f>
        <v>#DIV/0!</v>
      </c>
      <c r="J9" s="6">
        <f>SUMIFS(Tabla_Registro_de_movimientos_app.accdb[Importe_Ingreso],Tabla_Registro_de_movimientos_app.accdb[Sucursal],Sucursal!J$5,Tabla_Registro_de_movimientos_app.accdb[Detalle de movimiento],Sucursal!$A9,Tabla_Registro_de_movimientos_app.accdb[Fecha],"&gt;"&amp;Sucursal!$B$4,Tabla_Registro_de_movimientos_app.accdb[Fecha],"&lt;="&amp;Sucursal!$C$4)</f>
        <v>0</v>
      </c>
      <c r="K9" s="187" t="e">
        <f>J9/J$13</f>
        <v>#DIV/0!</v>
      </c>
      <c r="L9" s="6">
        <f>SUMIFS(Tabla_Registro_de_movimientos_app.accdb[Importe_Ingreso],Tabla_Registro_de_movimientos_app.accdb[Sucursal],Sucursal!L$5,Tabla_Registro_de_movimientos_app.accdb[Detalle de movimiento],Sucursal!$A9,Tabla_Registro_de_movimientos_app.accdb[Fecha],"&gt;"&amp;Sucursal!$B$4,Tabla_Registro_de_movimientos_app.accdb[Fecha],"&lt;="&amp;Sucursal!$C$4)</f>
        <v>0</v>
      </c>
      <c r="M9" s="187">
        <f t="shared" ref="M9:M12" si="2">IFERROR(L9/L$13,0)</f>
        <v>0</v>
      </c>
      <c r="N9" s="6">
        <f>SUMIFS(Tabla_Registro_de_movimientos_app.accdb[Importe_Ingreso],Tabla_Registro_de_movimientos_app.accdb[Sucursal],Sucursal!N$5,Tabla_Registro_de_movimientos_app.accdb[Detalle de movimiento],Sucursal!$A9,Tabla_Registro_de_movimientos_app.accdb[Fecha],"&gt;"&amp;Sucursal!$B$4,Tabla_Registro_de_movimientos_app.accdb[Fecha],"&lt;="&amp;Sucursal!$C$4)</f>
        <v>0</v>
      </c>
      <c r="O9" s="187" t="e">
        <f>N9/N$13</f>
        <v>#DIV/0!</v>
      </c>
      <c r="P9" s="6">
        <f>SUMIFS(Tabla_Registro_de_movimientos_app.accdb[Importe_Ingreso],Tabla_Registro_de_movimientos_app.accdb[Sucursal],Sucursal!P$5,Tabla_Registro_de_movimientos_app.accdb[Detalle de movimiento],Sucursal!$A9,Tabla_Registro_de_movimientos_app.accdb[Fecha],"&gt;"&amp;Sucursal!$B$4,Tabla_Registro_de_movimientos_app.accdb[Fecha],"&lt;="&amp;Sucursal!$C$4)</f>
        <v>1000</v>
      </c>
      <c r="Q9" s="187">
        <f>P9/P$13</f>
        <v>0.66666666666666663</v>
      </c>
      <c r="R9" s="6">
        <f>SUMIFS(Tabla_Registro_de_movimientos_app.accdb[Importe_Ingreso],Tabla_Registro_de_movimientos_app.accdb[Sucursal],Sucursal!R$5,Tabla_Registro_de_movimientos_app.accdb[Detalle de movimiento],Sucursal!$A9,Tabla_Registro_de_movimientos_app.accdb[Fecha],"&gt;"&amp;Sucursal!$B$4,Tabla_Registro_de_movimientos_app.accdb[Fecha],"&lt;="&amp;Sucursal!$C$4)</f>
        <v>0</v>
      </c>
      <c r="S9" s="187" t="e">
        <f>R9/R$13</f>
        <v>#DIV/0!</v>
      </c>
      <c r="T9" s="6">
        <f>SUMIFS(Tabla_Registro_de_movimientos_app.accdb[Importe_Ingreso],Tabla_Registro_de_movimientos_app.accdb[Sucursal],Sucursal!T$5,Tabla_Registro_de_movimientos_app.accdb[Detalle de movimiento],Sucursal!$A9,Tabla_Registro_de_movimientos_app.accdb[Fecha],"&gt;"&amp;Sucursal!$B$4,Tabla_Registro_de_movimientos_app.accdb[Fecha],"&lt;="&amp;Sucursal!$C$4)</f>
        <v>0</v>
      </c>
      <c r="U9" s="187" t="e">
        <f>T9/T$13</f>
        <v>#DIV/0!</v>
      </c>
      <c r="V9" s="6">
        <f>SUMIFS(Tabla_Registro_de_movimientos_app.accdb[Importe_Ingreso],Tabla_Registro_de_movimientos_app.accdb[Sucursal],Sucursal!V$5,Tabla_Registro_de_movimientos_app.accdb[Detalle de movimiento],Sucursal!$A9,Tabla_Registro_de_movimientos_app.accdb[Fecha],"&gt;"&amp;Sucursal!$B$4,Tabla_Registro_de_movimientos_app.accdb[Fecha],"&lt;="&amp;Sucursal!$C$4)</f>
        <v>0</v>
      </c>
      <c r="W9" s="187" t="e">
        <f>V9/V$13</f>
        <v>#DIV/0!</v>
      </c>
      <c r="X9" s="6">
        <f>SUMIFS(Tabla_Registro_de_movimientos_app.accdb[Importe_Ingreso],Tabla_Registro_de_movimientos_app.accdb[Sucursal],Sucursal!X$5,Tabla_Registro_de_movimientos_app.accdb[Detalle de movimiento],Sucursal!$A9,Tabla_Registro_de_movimientos_app.accdb[Fecha],"&gt;"&amp;Sucursal!$B$4,Tabla_Registro_de_movimientos_app.accdb[Fecha],"&lt;="&amp;Sucursal!$C$4)</f>
        <v>0</v>
      </c>
      <c r="Y9" s="187" t="e">
        <f>X9/X$13</f>
        <v>#DIV/0!</v>
      </c>
      <c r="Z9" s="6">
        <f>SUMIFS(Tabla_Registro_de_movimientos_app.accdb[Importe_Ingreso],Tabla_Registro_de_movimientos_app.accdb[Sucursal],Sucursal!Z$5,Tabla_Registro_de_movimientos_app.accdb[Detalle de movimiento],Sucursal!$A9,Tabla_Registro_de_movimientos_app.accdb[Fecha],"&gt;"&amp;Sucursal!$B$4,Tabla_Registro_de_movimientos_app.accdb[Fecha],"&lt;="&amp;Sucursal!$C$4)</f>
        <v>0</v>
      </c>
      <c r="AA9" s="187" t="e">
        <f>Z9/Z$13</f>
        <v>#DIV/0!</v>
      </c>
      <c r="AB9" s="6">
        <f>SUMIFS(Tabla_Registro_de_movimientos_app.accdb[Importe_Ingreso],Tabla_Registro_de_movimientos_app.accdb[Sucursal],Sucursal!AB$5,Tabla_Registro_de_movimientos_app.accdb[Detalle de movimiento],Sucursal!$A9,Tabla_Registro_de_movimientos_app.accdb[Fecha],"&gt;"&amp;Sucursal!$B$4,Tabla_Registro_de_movimientos_app.accdb[Fecha],"&lt;="&amp;Sucursal!$C$4)</f>
        <v>0</v>
      </c>
      <c r="AC9" s="187" t="e">
        <f>AB9/AB$13</f>
        <v>#DIV/0!</v>
      </c>
      <c r="AD9" s="6">
        <f>SUMIFS(Tabla_Registro_de_movimientos_app.accdb[Importe_Ingreso],Tabla_Registro_de_movimientos_app.accdb[Sucursal],Sucursal!AD$5,Tabla_Registro_de_movimientos_app.accdb[Detalle de movimiento],Sucursal!$A9,Tabla_Registro_de_movimientos_app.accdb[Fecha],"&gt;"&amp;Sucursal!$B$4,Tabla_Registro_de_movimientos_app.accdb[Fecha],"&lt;="&amp;Sucursal!$C$4)</f>
        <v>0</v>
      </c>
      <c r="AE9" s="187" t="e">
        <f>AD9/AD$13</f>
        <v>#DIV/0!</v>
      </c>
      <c r="AF9" s="6">
        <f>SUMIFS(Tabla_Registro_de_movimientos_app.accdb[Importe_Ingreso],Tabla_Registro_de_movimientos_app.accdb[Sucursal],Sucursal!AF$5,Tabla_Registro_de_movimientos_app.accdb[Detalle de movimiento],Sucursal!$A9,Tabla_Registro_de_movimientos_app.accdb[Fecha],"&gt;"&amp;Sucursal!$B$4,Tabla_Registro_de_movimientos_app.accdb[Fecha],"&lt;="&amp;Sucursal!$C$4)</f>
        <v>0</v>
      </c>
      <c r="AG9" s="187" t="e">
        <f>AF9/AF$13</f>
        <v>#DIV/0!</v>
      </c>
      <c r="AH9" s="6">
        <f>SUMIFS(Tabla_Registro_de_movimientos_app.accdb[Importe_Ingreso],Tabla_Registro_de_movimientos_app.accdb[Sucursal],Sucursal!AH$5,Tabla_Registro_de_movimientos_app.accdb[Detalle de movimiento],Sucursal!$A9,Tabla_Registro_de_movimientos_app.accdb[Fecha],"&gt;"&amp;Sucursal!$B$4,Tabla_Registro_de_movimientos_app.accdb[Fecha],"&lt;="&amp;Sucursal!$C$4)</f>
        <v>0</v>
      </c>
      <c r="AI9" s="187" t="e">
        <f>AH9/AH$13</f>
        <v>#DIV/0!</v>
      </c>
      <c r="AJ9" s="6">
        <f>SUMIFS(Tabla_Registro_de_movimientos_app.accdb[Importe_Ingreso],Tabla_Registro_de_movimientos_app.accdb[Sucursal],Sucursal!AJ$5,Tabla_Registro_de_movimientos_app.accdb[Detalle de movimiento],Sucursal!$A9,Tabla_Registro_de_movimientos_app.accdb[Fecha],"&gt;"&amp;Sucursal!$B$4,Tabla_Registro_de_movimientos_app.accdb[Fecha],"&lt;="&amp;Sucursal!$C$4)</f>
        <v>0</v>
      </c>
      <c r="AK9" s="187" t="e">
        <f>AJ9/AJ$13</f>
        <v>#DIV/0!</v>
      </c>
      <c r="AM9" s="188">
        <f t="shared" ref="AM9:AM12" si="3">SUM(B9,D9,F9,H9,J9,L9,N9,P9,R9,T9,V9,X9,Z9,AB9,AD9,AF9,AH9,AJ9)</f>
        <v>1000</v>
      </c>
      <c r="AN9" s="189">
        <f t="shared" ref="AN9:AN12" si="4">AM9/$AM$13</f>
        <v>0.66666666666666663</v>
      </c>
    </row>
    <row r="10" spans="1:40" x14ac:dyDescent="0.25">
      <c r="A10" t="s">
        <v>88</v>
      </c>
      <c r="B10" s="6">
        <f>SUMIFS(Tabla_Registro_de_movimientos_app.accdb[Importe_Ingreso],Tabla_Registro_de_movimientos_app.accdb[Sucursal],Sucursal!$B$5,Tabla_Registro_de_movimientos_app.accdb[Detalle de movimiento],Sucursal!A10,Tabla_Registro_de_movimientos_app.accdb[Fecha],"&gt;"&amp;Sucursal!$B$4,Tabla_Registro_de_movimientos_app.accdb[Fecha],"&lt;="&amp;Sucursal!$C$4)</f>
        <v>0</v>
      </c>
      <c r="C10" s="187">
        <f t="shared" si="0"/>
        <v>0</v>
      </c>
      <c r="D10" s="6">
        <f>SUMIFS(Tabla_Registro_de_movimientos_app.accdb[Importe_Ingreso],Tabla_Registro_de_movimientos_app.accdb[Sucursal],Sucursal!D$5,Tabla_Registro_de_movimientos_app.accdb[Detalle de movimiento],Sucursal!$A10,Tabla_Registro_de_movimientos_app.accdb[Fecha],"&gt;"&amp;Sucursal!$B$4,Tabla_Registro_de_movimientos_app.accdb[Fecha],"&lt;="&amp;Sucursal!$C$4)</f>
        <v>0</v>
      </c>
      <c r="E10" s="187" t="e">
        <f>D10/D$13</f>
        <v>#DIV/0!</v>
      </c>
      <c r="F10" s="6">
        <f>SUMIFS(Tabla_Registro_de_movimientos_app.accdb[Importe_Ingreso],Tabla_Registro_de_movimientos_app.accdb[Sucursal],Sucursal!F$5,Tabla_Registro_de_movimientos_app.accdb[Detalle de movimiento],Sucursal!$A10,Tabla_Registro_de_movimientos_app.accdb[Fecha],"&gt;"&amp;Sucursal!$B$4,Tabla_Registro_de_movimientos_app.accdb[Fecha],"&lt;="&amp;Sucursal!$C$4)</f>
        <v>0</v>
      </c>
      <c r="G10" s="187">
        <f t="shared" si="1"/>
        <v>0</v>
      </c>
      <c r="H10" s="6">
        <f>SUMIFS(Tabla_Registro_de_movimientos_app.accdb[Importe_Ingreso],Tabla_Registro_de_movimientos_app.accdb[Sucursal],Sucursal!H$5,Tabla_Registro_de_movimientos_app.accdb[Detalle de movimiento],Sucursal!$A10,Tabla_Registro_de_movimientos_app.accdb[Fecha],"&gt;"&amp;Sucursal!$B$4,Tabla_Registro_de_movimientos_app.accdb[Fecha],"&lt;="&amp;Sucursal!$C$4)</f>
        <v>0</v>
      </c>
      <c r="I10" s="187" t="e">
        <f>H10/H$13</f>
        <v>#DIV/0!</v>
      </c>
      <c r="J10" s="6">
        <f>SUMIFS(Tabla_Registro_de_movimientos_app.accdb[Importe_Ingreso],Tabla_Registro_de_movimientos_app.accdb[Sucursal],Sucursal!J$5,Tabla_Registro_de_movimientos_app.accdb[Detalle de movimiento],Sucursal!$A10,Tabla_Registro_de_movimientos_app.accdb[Fecha],"&gt;"&amp;Sucursal!$B$4,Tabla_Registro_de_movimientos_app.accdb[Fecha],"&lt;="&amp;Sucursal!$C$4)</f>
        <v>0</v>
      </c>
      <c r="K10" s="187" t="e">
        <f>J10/J$13</f>
        <v>#DIV/0!</v>
      </c>
      <c r="L10" s="6">
        <f>SUMIFS(Tabla_Registro_de_movimientos_app.accdb[Importe_Ingreso],Tabla_Registro_de_movimientos_app.accdb[Sucursal],Sucursal!L$5,Tabla_Registro_de_movimientos_app.accdb[Detalle de movimiento],Sucursal!$A10,Tabla_Registro_de_movimientos_app.accdb[Fecha],"&gt;"&amp;Sucursal!$B$4,Tabla_Registro_de_movimientos_app.accdb[Fecha],"&lt;="&amp;Sucursal!$C$4)</f>
        <v>0</v>
      </c>
      <c r="M10" s="187">
        <f t="shared" si="2"/>
        <v>0</v>
      </c>
      <c r="N10" s="6">
        <f>SUMIFS(Tabla_Registro_de_movimientos_app.accdb[Importe_Ingreso],Tabla_Registro_de_movimientos_app.accdb[Sucursal],Sucursal!N$5,Tabla_Registro_de_movimientos_app.accdb[Detalle de movimiento],Sucursal!$A10,Tabla_Registro_de_movimientos_app.accdb[Fecha],"&gt;"&amp;Sucursal!$B$4,Tabla_Registro_de_movimientos_app.accdb[Fecha],"&lt;="&amp;Sucursal!$C$4)</f>
        <v>0</v>
      </c>
      <c r="O10" s="187" t="e">
        <f>N10/N$13</f>
        <v>#DIV/0!</v>
      </c>
      <c r="P10" s="6">
        <f>SUMIFS(Tabla_Registro_de_movimientos_app.accdb[Importe_Ingreso],Tabla_Registro_de_movimientos_app.accdb[Sucursal],Sucursal!P$5,Tabla_Registro_de_movimientos_app.accdb[Detalle de movimiento],Sucursal!$A10,Tabla_Registro_de_movimientos_app.accdb[Fecha],"&gt;"&amp;Sucursal!$B$4,Tabla_Registro_de_movimientos_app.accdb[Fecha],"&lt;="&amp;Sucursal!$C$4)</f>
        <v>0</v>
      </c>
      <c r="Q10" s="187">
        <f>P10/P$13</f>
        <v>0</v>
      </c>
      <c r="R10" s="6">
        <f>SUMIFS(Tabla_Registro_de_movimientos_app.accdb[Importe_Ingreso],Tabla_Registro_de_movimientos_app.accdb[Sucursal],Sucursal!R$5,Tabla_Registro_de_movimientos_app.accdb[Detalle de movimiento],Sucursal!$A10,Tabla_Registro_de_movimientos_app.accdb[Fecha],"&gt;"&amp;Sucursal!$B$4,Tabla_Registro_de_movimientos_app.accdb[Fecha],"&lt;="&amp;Sucursal!$C$4)</f>
        <v>0</v>
      </c>
      <c r="S10" s="187" t="e">
        <f>R10/R$13</f>
        <v>#DIV/0!</v>
      </c>
      <c r="T10" s="6">
        <f>SUMIFS(Tabla_Registro_de_movimientos_app.accdb[Importe_Ingreso],Tabla_Registro_de_movimientos_app.accdb[Sucursal],Sucursal!T$5,Tabla_Registro_de_movimientos_app.accdb[Detalle de movimiento],Sucursal!$A10,Tabla_Registro_de_movimientos_app.accdb[Fecha],"&gt;"&amp;Sucursal!$B$4,Tabla_Registro_de_movimientos_app.accdb[Fecha],"&lt;="&amp;Sucursal!$C$4)</f>
        <v>0</v>
      </c>
      <c r="U10" s="187" t="e">
        <f>T10/T$13</f>
        <v>#DIV/0!</v>
      </c>
      <c r="V10" s="6">
        <f>SUMIFS(Tabla_Registro_de_movimientos_app.accdb[Importe_Ingreso],Tabla_Registro_de_movimientos_app.accdb[Sucursal],Sucursal!V$5,Tabla_Registro_de_movimientos_app.accdb[Detalle de movimiento],Sucursal!$A10,Tabla_Registro_de_movimientos_app.accdb[Fecha],"&gt;"&amp;Sucursal!$B$4,Tabla_Registro_de_movimientos_app.accdb[Fecha],"&lt;="&amp;Sucursal!$C$4)</f>
        <v>0</v>
      </c>
      <c r="W10" s="187" t="e">
        <f>V10/V$13</f>
        <v>#DIV/0!</v>
      </c>
      <c r="X10" s="6">
        <f>SUMIFS(Tabla_Registro_de_movimientos_app.accdb[Importe_Ingreso],Tabla_Registro_de_movimientos_app.accdb[Sucursal],Sucursal!X$5,Tabla_Registro_de_movimientos_app.accdb[Detalle de movimiento],Sucursal!$A10,Tabla_Registro_de_movimientos_app.accdb[Fecha],"&gt;"&amp;Sucursal!$B$4,Tabla_Registro_de_movimientos_app.accdb[Fecha],"&lt;="&amp;Sucursal!$C$4)</f>
        <v>0</v>
      </c>
      <c r="Y10" s="187" t="e">
        <f>X10/X$13</f>
        <v>#DIV/0!</v>
      </c>
      <c r="Z10" s="6">
        <f>SUMIFS(Tabla_Registro_de_movimientos_app.accdb[Importe_Ingreso],Tabla_Registro_de_movimientos_app.accdb[Sucursal],Sucursal!Z$5,Tabla_Registro_de_movimientos_app.accdb[Detalle de movimiento],Sucursal!$A10,Tabla_Registro_de_movimientos_app.accdb[Fecha],"&gt;"&amp;Sucursal!$B$4,Tabla_Registro_de_movimientos_app.accdb[Fecha],"&lt;="&amp;Sucursal!$C$4)</f>
        <v>0</v>
      </c>
      <c r="AA10" s="187" t="e">
        <f>Z10/Z$13</f>
        <v>#DIV/0!</v>
      </c>
      <c r="AB10" s="6">
        <f>SUMIFS(Tabla_Registro_de_movimientos_app.accdb[Importe_Ingreso],Tabla_Registro_de_movimientos_app.accdb[Sucursal],Sucursal!AB$5,Tabla_Registro_de_movimientos_app.accdb[Detalle de movimiento],Sucursal!$A10,Tabla_Registro_de_movimientos_app.accdb[Fecha],"&gt;"&amp;Sucursal!$B$4,Tabla_Registro_de_movimientos_app.accdb[Fecha],"&lt;="&amp;Sucursal!$C$4)</f>
        <v>0</v>
      </c>
      <c r="AC10" s="187" t="e">
        <f>AB10/AB$13</f>
        <v>#DIV/0!</v>
      </c>
      <c r="AD10" s="6">
        <f>SUMIFS(Tabla_Registro_de_movimientos_app.accdb[Importe_Ingreso],Tabla_Registro_de_movimientos_app.accdb[Sucursal],Sucursal!AD$5,Tabla_Registro_de_movimientos_app.accdb[Detalle de movimiento],Sucursal!$A10,Tabla_Registro_de_movimientos_app.accdb[Fecha],"&gt;"&amp;Sucursal!$B$4,Tabla_Registro_de_movimientos_app.accdb[Fecha],"&lt;="&amp;Sucursal!$C$4)</f>
        <v>0</v>
      </c>
      <c r="AE10" s="187" t="e">
        <f>AD10/AD$13</f>
        <v>#DIV/0!</v>
      </c>
      <c r="AF10" s="6">
        <f>SUMIFS(Tabla_Registro_de_movimientos_app.accdb[Importe_Ingreso],Tabla_Registro_de_movimientos_app.accdb[Sucursal],Sucursal!AF$5,Tabla_Registro_de_movimientos_app.accdb[Detalle de movimiento],Sucursal!$A10,Tabla_Registro_de_movimientos_app.accdb[Fecha],"&gt;"&amp;Sucursal!$B$4,Tabla_Registro_de_movimientos_app.accdb[Fecha],"&lt;="&amp;Sucursal!$C$4)</f>
        <v>0</v>
      </c>
      <c r="AG10" s="187" t="e">
        <f>AF10/AF$13</f>
        <v>#DIV/0!</v>
      </c>
      <c r="AH10" s="6">
        <f>SUMIFS(Tabla_Registro_de_movimientos_app.accdb[Importe_Ingreso],Tabla_Registro_de_movimientos_app.accdb[Sucursal],Sucursal!AH$5,Tabla_Registro_de_movimientos_app.accdb[Detalle de movimiento],Sucursal!$A10,Tabla_Registro_de_movimientos_app.accdb[Fecha],"&gt;"&amp;Sucursal!$B$4,Tabla_Registro_de_movimientos_app.accdb[Fecha],"&lt;="&amp;Sucursal!$C$4)</f>
        <v>0</v>
      </c>
      <c r="AI10" s="187" t="e">
        <f>AH10/AH$13</f>
        <v>#DIV/0!</v>
      </c>
      <c r="AJ10" s="6">
        <f>SUMIFS(Tabla_Registro_de_movimientos_app.accdb[Importe_Ingreso],Tabla_Registro_de_movimientos_app.accdb[Sucursal],Sucursal!AJ$5,Tabla_Registro_de_movimientos_app.accdb[Detalle de movimiento],Sucursal!$A10,Tabla_Registro_de_movimientos_app.accdb[Fecha],"&gt;"&amp;Sucursal!$B$4,Tabla_Registro_de_movimientos_app.accdb[Fecha],"&lt;="&amp;Sucursal!$C$4)</f>
        <v>0</v>
      </c>
      <c r="AK10" s="187" t="e">
        <f>AJ10/AJ$13</f>
        <v>#DIV/0!</v>
      </c>
      <c r="AM10" s="188">
        <f t="shared" si="3"/>
        <v>0</v>
      </c>
      <c r="AN10" s="189">
        <f t="shared" si="4"/>
        <v>0</v>
      </c>
    </row>
    <row r="11" spans="1:40" x14ac:dyDescent="0.25">
      <c r="A11" t="s">
        <v>89</v>
      </c>
      <c r="B11" s="6">
        <f>SUMIFS(Tabla_Registro_de_movimientos_app.accdb[Importe_Ingreso],Tabla_Registro_de_movimientos_app.accdb[Sucursal],Sucursal!$B$5,Tabla_Registro_de_movimientos_app.accdb[Detalle de movimiento],Sucursal!A11,Tabla_Registro_de_movimientos_app.accdb[Fecha],"&gt;"&amp;Sucursal!$B$4,Tabla_Registro_de_movimientos_app.accdb[Fecha],"&lt;="&amp;Sucursal!$C$4)</f>
        <v>0</v>
      </c>
      <c r="C11" s="187">
        <f t="shared" si="0"/>
        <v>0</v>
      </c>
      <c r="D11" s="6">
        <f>SUMIFS(Tabla_Registro_de_movimientos_app.accdb[Importe_Ingreso],Tabla_Registro_de_movimientos_app.accdb[Sucursal],Sucursal!D$5,Tabla_Registro_de_movimientos_app.accdb[Detalle de movimiento],Sucursal!$A11,Tabla_Registro_de_movimientos_app.accdb[Fecha],"&gt;"&amp;Sucursal!$B$4,Tabla_Registro_de_movimientos_app.accdb[Fecha],"&lt;="&amp;Sucursal!$C$4)</f>
        <v>0</v>
      </c>
      <c r="E11" s="187" t="e">
        <f>D11/D$13</f>
        <v>#DIV/0!</v>
      </c>
      <c r="F11" s="6">
        <f>SUMIFS(Tabla_Registro_de_movimientos_app.accdb[Importe_Ingreso],Tabla_Registro_de_movimientos_app.accdb[Sucursal],Sucursal!F$5,Tabla_Registro_de_movimientos_app.accdb[Detalle de movimiento],Sucursal!$A11,Tabla_Registro_de_movimientos_app.accdb[Fecha],"&gt;"&amp;Sucursal!$B$4,Tabla_Registro_de_movimientos_app.accdb[Fecha],"&lt;="&amp;Sucursal!$C$4)</f>
        <v>0</v>
      </c>
      <c r="G11" s="187">
        <f t="shared" si="1"/>
        <v>0</v>
      </c>
      <c r="H11" s="6">
        <f>SUMIFS(Tabla_Registro_de_movimientos_app.accdb[Importe_Ingreso],Tabla_Registro_de_movimientos_app.accdb[Sucursal],Sucursal!H$5,Tabla_Registro_de_movimientos_app.accdb[Detalle de movimiento],Sucursal!$A11,Tabla_Registro_de_movimientos_app.accdb[Fecha],"&gt;"&amp;Sucursal!$B$4,Tabla_Registro_de_movimientos_app.accdb[Fecha],"&lt;="&amp;Sucursal!$C$4)</f>
        <v>0</v>
      </c>
      <c r="I11" s="187" t="e">
        <f>H11/H$13</f>
        <v>#DIV/0!</v>
      </c>
      <c r="J11" s="6">
        <f>SUMIFS(Tabla_Registro_de_movimientos_app.accdb[Importe_Ingreso],Tabla_Registro_de_movimientos_app.accdb[Sucursal],Sucursal!J$5,Tabla_Registro_de_movimientos_app.accdb[Detalle de movimiento],Sucursal!$A11,Tabla_Registro_de_movimientos_app.accdb[Fecha],"&gt;"&amp;Sucursal!$B$4,Tabla_Registro_de_movimientos_app.accdb[Fecha],"&lt;="&amp;Sucursal!$C$4)</f>
        <v>0</v>
      </c>
      <c r="K11" s="187" t="e">
        <f>J11/J$13</f>
        <v>#DIV/0!</v>
      </c>
      <c r="L11" s="6">
        <f>SUMIFS(Tabla_Registro_de_movimientos_app.accdb[Importe_Ingreso],Tabla_Registro_de_movimientos_app.accdb[Sucursal],Sucursal!L$5,Tabla_Registro_de_movimientos_app.accdb[Detalle de movimiento],Sucursal!$A11,Tabla_Registro_de_movimientos_app.accdb[Fecha],"&gt;"&amp;Sucursal!$B$4,Tabla_Registro_de_movimientos_app.accdb[Fecha],"&lt;="&amp;Sucursal!$C$4)</f>
        <v>0</v>
      </c>
      <c r="M11" s="187">
        <f t="shared" si="2"/>
        <v>0</v>
      </c>
      <c r="N11" s="6">
        <f>SUMIFS(Tabla_Registro_de_movimientos_app.accdb[Importe_Ingreso],Tabla_Registro_de_movimientos_app.accdb[Sucursal],Sucursal!N$5,Tabla_Registro_de_movimientos_app.accdb[Detalle de movimiento],Sucursal!$A11,Tabla_Registro_de_movimientos_app.accdb[Fecha],"&gt;"&amp;Sucursal!$B$4,Tabla_Registro_de_movimientos_app.accdb[Fecha],"&lt;="&amp;Sucursal!$C$4)</f>
        <v>0</v>
      </c>
      <c r="O11" s="187" t="e">
        <f>N11/N$13</f>
        <v>#DIV/0!</v>
      </c>
      <c r="P11" s="6">
        <f>SUMIFS(Tabla_Registro_de_movimientos_app.accdb[Importe_Ingreso],Tabla_Registro_de_movimientos_app.accdb[Sucursal],Sucursal!P$5,Tabla_Registro_de_movimientos_app.accdb[Detalle de movimiento],Sucursal!$A11,Tabla_Registro_de_movimientos_app.accdb[Fecha],"&gt;"&amp;Sucursal!$B$4,Tabla_Registro_de_movimientos_app.accdb[Fecha],"&lt;="&amp;Sucursal!$C$4)</f>
        <v>0</v>
      </c>
      <c r="Q11" s="187">
        <f>P11/P$13</f>
        <v>0</v>
      </c>
      <c r="R11" s="6">
        <f>SUMIFS(Tabla_Registro_de_movimientos_app.accdb[Importe_Ingreso],Tabla_Registro_de_movimientos_app.accdb[Sucursal],Sucursal!R$5,Tabla_Registro_de_movimientos_app.accdb[Detalle de movimiento],Sucursal!$A11,Tabla_Registro_de_movimientos_app.accdb[Fecha],"&gt;"&amp;Sucursal!$B$4,Tabla_Registro_de_movimientos_app.accdb[Fecha],"&lt;="&amp;Sucursal!$C$4)</f>
        <v>0</v>
      </c>
      <c r="S11" s="187" t="e">
        <f>R11/R$13</f>
        <v>#DIV/0!</v>
      </c>
      <c r="T11" s="6">
        <f>SUMIFS(Tabla_Registro_de_movimientos_app.accdb[Importe_Ingreso],Tabla_Registro_de_movimientos_app.accdb[Sucursal],Sucursal!T$5,Tabla_Registro_de_movimientos_app.accdb[Detalle de movimiento],Sucursal!$A11,Tabla_Registro_de_movimientos_app.accdb[Fecha],"&gt;"&amp;Sucursal!$B$4,Tabla_Registro_de_movimientos_app.accdb[Fecha],"&lt;="&amp;Sucursal!$C$4)</f>
        <v>0</v>
      </c>
      <c r="U11" s="187" t="e">
        <f>T11/T$13</f>
        <v>#DIV/0!</v>
      </c>
      <c r="V11" s="6">
        <f>SUMIFS(Tabla_Registro_de_movimientos_app.accdb[Importe_Ingreso],Tabla_Registro_de_movimientos_app.accdb[Sucursal],Sucursal!V$5,Tabla_Registro_de_movimientos_app.accdb[Detalle de movimiento],Sucursal!$A11,Tabla_Registro_de_movimientos_app.accdb[Fecha],"&gt;"&amp;Sucursal!$B$4,Tabla_Registro_de_movimientos_app.accdb[Fecha],"&lt;="&amp;Sucursal!$C$4)</f>
        <v>0</v>
      </c>
      <c r="W11" s="187" t="e">
        <f>V11/V$13</f>
        <v>#DIV/0!</v>
      </c>
      <c r="X11" s="6">
        <f>SUMIFS(Tabla_Registro_de_movimientos_app.accdb[Importe_Ingreso],Tabla_Registro_de_movimientos_app.accdb[Sucursal],Sucursal!X$5,Tabla_Registro_de_movimientos_app.accdb[Detalle de movimiento],Sucursal!$A11,Tabla_Registro_de_movimientos_app.accdb[Fecha],"&gt;"&amp;Sucursal!$B$4,Tabla_Registro_de_movimientos_app.accdb[Fecha],"&lt;="&amp;Sucursal!$C$4)</f>
        <v>0</v>
      </c>
      <c r="Y11" s="187" t="e">
        <f>X11/X$13</f>
        <v>#DIV/0!</v>
      </c>
      <c r="Z11" s="6">
        <f>SUMIFS(Tabla_Registro_de_movimientos_app.accdb[Importe_Ingreso],Tabla_Registro_de_movimientos_app.accdb[Sucursal],Sucursal!Z$5,Tabla_Registro_de_movimientos_app.accdb[Detalle de movimiento],Sucursal!$A11,Tabla_Registro_de_movimientos_app.accdb[Fecha],"&gt;"&amp;Sucursal!$B$4,Tabla_Registro_de_movimientos_app.accdb[Fecha],"&lt;="&amp;Sucursal!$C$4)</f>
        <v>0</v>
      </c>
      <c r="AA11" s="187" t="e">
        <f>Z11/Z$13</f>
        <v>#DIV/0!</v>
      </c>
      <c r="AB11" s="6">
        <f>SUMIFS(Tabla_Registro_de_movimientos_app.accdb[Importe_Ingreso],Tabla_Registro_de_movimientos_app.accdb[Sucursal],Sucursal!AB$5,Tabla_Registro_de_movimientos_app.accdb[Detalle de movimiento],Sucursal!$A11,Tabla_Registro_de_movimientos_app.accdb[Fecha],"&gt;"&amp;Sucursal!$B$4,Tabla_Registro_de_movimientos_app.accdb[Fecha],"&lt;="&amp;Sucursal!$C$4)</f>
        <v>0</v>
      </c>
      <c r="AC11" s="187" t="e">
        <f>AB11/AB$13</f>
        <v>#DIV/0!</v>
      </c>
      <c r="AD11" s="6">
        <f>SUMIFS(Tabla_Registro_de_movimientos_app.accdb[Importe_Ingreso],Tabla_Registro_de_movimientos_app.accdb[Sucursal],Sucursal!AD$5,Tabla_Registro_de_movimientos_app.accdb[Detalle de movimiento],Sucursal!$A11,Tabla_Registro_de_movimientos_app.accdb[Fecha],"&gt;"&amp;Sucursal!$B$4,Tabla_Registro_de_movimientos_app.accdb[Fecha],"&lt;="&amp;Sucursal!$C$4)</f>
        <v>0</v>
      </c>
      <c r="AE11" s="187" t="e">
        <f>AD11/AD$13</f>
        <v>#DIV/0!</v>
      </c>
      <c r="AF11" s="6">
        <f>SUMIFS(Tabla_Registro_de_movimientos_app.accdb[Importe_Ingreso],Tabla_Registro_de_movimientos_app.accdb[Sucursal],Sucursal!AF$5,Tabla_Registro_de_movimientos_app.accdb[Detalle de movimiento],Sucursal!$A11,Tabla_Registro_de_movimientos_app.accdb[Fecha],"&gt;"&amp;Sucursal!$B$4,Tabla_Registro_de_movimientos_app.accdb[Fecha],"&lt;="&amp;Sucursal!$C$4)</f>
        <v>0</v>
      </c>
      <c r="AG11" s="187" t="e">
        <f>AF11/AF$13</f>
        <v>#DIV/0!</v>
      </c>
      <c r="AH11" s="6">
        <f>SUMIFS(Tabla_Registro_de_movimientos_app.accdb[Importe_Ingreso],Tabla_Registro_de_movimientos_app.accdb[Sucursal],Sucursal!AH$5,Tabla_Registro_de_movimientos_app.accdb[Detalle de movimiento],Sucursal!$A11,Tabla_Registro_de_movimientos_app.accdb[Fecha],"&gt;"&amp;Sucursal!$B$4,Tabla_Registro_de_movimientos_app.accdb[Fecha],"&lt;="&amp;Sucursal!$C$4)</f>
        <v>0</v>
      </c>
      <c r="AI11" s="187" t="e">
        <f>AH11/AH$13</f>
        <v>#DIV/0!</v>
      </c>
      <c r="AJ11" s="6">
        <f>SUMIFS(Tabla_Registro_de_movimientos_app.accdb[Importe_Ingreso],Tabla_Registro_de_movimientos_app.accdb[Sucursal],Sucursal!AJ$5,Tabla_Registro_de_movimientos_app.accdb[Detalle de movimiento],Sucursal!$A11,Tabla_Registro_de_movimientos_app.accdb[Fecha],"&gt;"&amp;Sucursal!$B$4,Tabla_Registro_de_movimientos_app.accdb[Fecha],"&lt;="&amp;Sucursal!$C$4)</f>
        <v>0</v>
      </c>
      <c r="AK11" s="187" t="e">
        <f>AJ11/AJ$13</f>
        <v>#DIV/0!</v>
      </c>
      <c r="AM11" s="188">
        <f t="shared" si="3"/>
        <v>0</v>
      </c>
      <c r="AN11" s="189">
        <f t="shared" si="4"/>
        <v>0</v>
      </c>
    </row>
    <row r="12" spans="1:40" x14ac:dyDescent="0.25">
      <c r="A12" t="s">
        <v>90</v>
      </c>
      <c r="B12" s="6">
        <f>SUMIFS(Tabla_Registro_de_movimientos_app.accdb[Importe_Ingreso],Tabla_Registro_de_movimientos_app.accdb[Sucursal],Sucursal!$B$5,Tabla_Registro_de_movimientos_app.accdb[Detalle de movimiento],Sucursal!A12,Tabla_Registro_de_movimientos_app.accdb[Fecha],"&gt;"&amp;Sucursal!$B$4,Tabla_Registro_de_movimientos_app.accdb[Fecha],"&lt;="&amp;Sucursal!$C$4)</f>
        <v>0</v>
      </c>
      <c r="C12" s="187">
        <f t="shared" si="0"/>
        <v>0</v>
      </c>
      <c r="D12" s="6">
        <f>SUMIFS(Tabla_Registro_de_movimientos_app.accdb[Importe_Ingreso],Tabla_Registro_de_movimientos_app.accdb[Sucursal],Sucursal!D$5,Tabla_Registro_de_movimientos_app.accdb[Detalle de movimiento],Sucursal!$A12,Tabla_Registro_de_movimientos_app.accdb[Fecha],"&gt;"&amp;Sucursal!$B$4,Tabla_Registro_de_movimientos_app.accdb[Fecha],"&lt;="&amp;Sucursal!$C$4)</f>
        <v>0</v>
      </c>
      <c r="E12" s="187" t="e">
        <f>D12/D$13</f>
        <v>#DIV/0!</v>
      </c>
      <c r="F12" s="6">
        <f>SUMIFS(Tabla_Registro_de_movimientos_app.accdb[Importe_Ingreso],Tabla_Registro_de_movimientos_app.accdb[Sucursal],Sucursal!F$5,Tabla_Registro_de_movimientos_app.accdb[Detalle de movimiento],Sucursal!$A12,Tabla_Registro_de_movimientos_app.accdb[Fecha],"&gt;"&amp;Sucursal!$B$4,Tabla_Registro_de_movimientos_app.accdb[Fecha],"&lt;="&amp;Sucursal!$C$4)</f>
        <v>0</v>
      </c>
      <c r="G12" s="187">
        <f t="shared" si="1"/>
        <v>0</v>
      </c>
      <c r="H12" s="6">
        <f>SUMIFS(Tabla_Registro_de_movimientos_app.accdb[Importe_Ingreso],Tabla_Registro_de_movimientos_app.accdb[Sucursal],Sucursal!H$5,Tabla_Registro_de_movimientos_app.accdb[Detalle de movimiento],Sucursal!$A12,Tabla_Registro_de_movimientos_app.accdb[Fecha],"&gt;"&amp;Sucursal!$B$4,Tabla_Registro_de_movimientos_app.accdb[Fecha],"&lt;="&amp;Sucursal!$C$4)</f>
        <v>0</v>
      </c>
      <c r="I12" s="187" t="e">
        <f>H12/H$13</f>
        <v>#DIV/0!</v>
      </c>
      <c r="J12" s="6">
        <f>SUMIFS(Tabla_Registro_de_movimientos_app.accdb[Importe_Ingreso],Tabla_Registro_de_movimientos_app.accdb[Sucursal],Sucursal!J$5,Tabla_Registro_de_movimientos_app.accdb[Detalle de movimiento],Sucursal!$A12,Tabla_Registro_de_movimientos_app.accdb[Fecha],"&gt;"&amp;Sucursal!$B$4,Tabla_Registro_de_movimientos_app.accdb[Fecha],"&lt;="&amp;Sucursal!$C$4)</f>
        <v>0</v>
      </c>
      <c r="K12" s="187" t="e">
        <f>J12/J$13</f>
        <v>#DIV/0!</v>
      </c>
      <c r="L12" s="6">
        <f>SUMIFS(Tabla_Registro_de_movimientos_app.accdb[Importe_Ingreso],Tabla_Registro_de_movimientos_app.accdb[Sucursal],Sucursal!L$5,Tabla_Registro_de_movimientos_app.accdb[Detalle de movimiento],Sucursal!$A12,Tabla_Registro_de_movimientos_app.accdb[Fecha],"&gt;"&amp;Sucursal!$B$4,Tabla_Registro_de_movimientos_app.accdb[Fecha],"&lt;="&amp;Sucursal!$C$4)</f>
        <v>0</v>
      </c>
      <c r="M12" s="187">
        <f t="shared" si="2"/>
        <v>0</v>
      </c>
      <c r="N12" s="6">
        <f>SUMIFS(Tabla_Registro_de_movimientos_app.accdb[Importe_Ingreso],Tabla_Registro_de_movimientos_app.accdb[Sucursal],Sucursal!N$5,Tabla_Registro_de_movimientos_app.accdb[Detalle de movimiento],Sucursal!$A12,Tabla_Registro_de_movimientos_app.accdb[Fecha],"&gt;"&amp;Sucursal!$B$4,Tabla_Registro_de_movimientos_app.accdb[Fecha],"&lt;="&amp;Sucursal!$C$4)</f>
        <v>0</v>
      </c>
      <c r="O12" s="187" t="e">
        <f>N12/N$13</f>
        <v>#DIV/0!</v>
      </c>
      <c r="P12" s="6">
        <f>SUMIFS(Tabla_Registro_de_movimientos_app.accdb[Importe_Ingreso],Tabla_Registro_de_movimientos_app.accdb[Sucursal],Sucursal!P$5,Tabla_Registro_de_movimientos_app.accdb[Detalle de movimiento],Sucursal!$A12,Tabla_Registro_de_movimientos_app.accdb[Fecha],"&gt;"&amp;Sucursal!$B$4,Tabla_Registro_de_movimientos_app.accdb[Fecha],"&lt;="&amp;Sucursal!$C$4)</f>
        <v>0</v>
      </c>
      <c r="Q12" s="187">
        <f>P12/P$13</f>
        <v>0</v>
      </c>
      <c r="R12" s="6">
        <f>SUMIFS(Tabla_Registro_de_movimientos_app.accdb[Importe_Ingreso],Tabla_Registro_de_movimientos_app.accdb[Sucursal],Sucursal!R$5,Tabla_Registro_de_movimientos_app.accdb[Detalle de movimiento],Sucursal!$A12,Tabla_Registro_de_movimientos_app.accdb[Fecha],"&gt;"&amp;Sucursal!$B$4,Tabla_Registro_de_movimientos_app.accdb[Fecha],"&lt;="&amp;Sucursal!$C$4)</f>
        <v>0</v>
      </c>
      <c r="S12" s="187" t="e">
        <f>R12/R$13</f>
        <v>#DIV/0!</v>
      </c>
      <c r="T12" s="6">
        <f>SUMIFS(Tabla_Registro_de_movimientos_app.accdb[Importe_Ingreso],Tabla_Registro_de_movimientos_app.accdb[Sucursal],Sucursal!T$5,Tabla_Registro_de_movimientos_app.accdb[Detalle de movimiento],Sucursal!$A12,Tabla_Registro_de_movimientos_app.accdb[Fecha],"&gt;"&amp;Sucursal!$B$4,Tabla_Registro_de_movimientos_app.accdb[Fecha],"&lt;="&amp;Sucursal!$C$4)</f>
        <v>0</v>
      </c>
      <c r="U12" s="187" t="e">
        <f>T12/T$13</f>
        <v>#DIV/0!</v>
      </c>
      <c r="V12" s="6">
        <f>SUMIFS(Tabla_Registro_de_movimientos_app.accdb[Importe_Ingreso],Tabla_Registro_de_movimientos_app.accdb[Sucursal],Sucursal!V$5,Tabla_Registro_de_movimientos_app.accdb[Detalle de movimiento],Sucursal!$A12,Tabla_Registro_de_movimientos_app.accdb[Fecha],"&gt;"&amp;Sucursal!$B$4,Tabla_Registro_de_movimientos_app.accdb[Fecha],"&lt;="&amp;Sucursal!$C$4)</f>
        <v>0</v>
      </c>
      <c r="W12" s="187" t="e">
        <f>V12/V$13</f>
        <v>#DIV/0!</v>
      </c>
      <c r="X12" s="6">
        <f>SUMIFS(Tabla_Registro_de_movimientos_app.accdb[Importe_Ingreso],Tabla_Registro_de_movimientos_app.accdb[Sucursal],Sucursal!X$5,Tabla_Registro_de_movimientos_app.accdb[Detalle de movimiento],Sucursal!$A12,Tabla_Registro_de_movimientos_app.accdb[Fecha],"&gt;"&amp;Sucursal!$B$4,Tabla_Registro_de_movimientos_app.accdb[Fecha],"&lt;="&amp;Sucursal!$C$4)</f>
        <v>0</v>
      </c>
      <c r="Y12" s="187" t="e">
        <f>X12/X$13</f>
        <v>#DIV/0!</v>
      </c>
      <c r="Z12" s="6">
        <f>SUMIFS(Tabla_Registro_de_movimientos_app.accdb[Importe_Ingreso],Tabla_Registro_de_movimientos_app.accdb[Sucursal],Sucursal!Z$5,Tabla_Registro_de_movimientos_app.accdb[Detalle de movimiento],Sucursal!$A12,Tabla_Registro_de_movimientos_app.accdb[Fecha],"&gt;"&amp;Sucursal!$B$4,Tabla_Registro_de_movimientos_app.accdb[Fecha],"&lt;="&amp;Sucursal!$C$4)</f>
        <v>0</v>
      </c>
      <c r="AA12" s="187" t="e">
        <f>Z12/Z$13</f>
        <v>#DIV/0!</v>
      </c>
      <c r="AB12" s="6">
        <f>SUMIFS(Tabla_Registro_de_movimientos_app.accdb[Importe_Ingreso],Tabla_Registro_de_movimientos_app.accdb[Sucursal],Sucursal!AB$5,Tabla_Registro_de_movimientos_app.accdb[Detalle de movimiento],Sucursal!$A12,Tabla_Registro_de_movimientos_app.accdb[Fecha],"&gt;"&amp;Sucursal!$B$4,Tabla_Registro_de_movimientos_app.accdb[Fecha],"&lt;="&amp;Sucursal!$C$4)</f>
        <v>0</v>
      </c>
      <c r="AC12" s="187" t="e">
        <f>AB12/AB$13</f>
        <v>#DIV/0!</v>
      </c>
      <c r="AD12" s="6">
        <f>SUMIFS(Tabla_Registro_de_movimientos_app.accdb[Importe_Ingreso],Tabla_Registro_de_movimientos_app.accdb[Sucursal],Sucursal!AD$5,Tabla_Registro_de_movimientos_app.accdb[Detalle de movimiento],Sucursal!$A12,Tabla_Registro_de_movimientos_app.accdb[Fecha],"&gt;"&amp;Sucursal!$B$4,Tabla_Registro_de_movimientos_app.accdb[Fecha],"&lt;="&amp;Sucursal!$C$4)</f>
        <v>0</v>
      </c>
      <c r="AE12" s="187" t="e">
        <f>AD12/AD$13</f>
        <v>#DIV/0!</v>
      </c>
      <c r="AF12" s="6">
        <f>SUMIFS(Tabla_Registro_de_movimientos_app.accdb[Importe_Ingreso],Tabla_Registro_de_movimientos_app.accdb[Sucursal],Sucursal!AF$5,Tabla_Registro_de_movimientos_app.accdb[Detalle de movimiento],Sucursal!$A12,Tabla_Registro_de_movimientos_app.accdb[Fecha],"&gt;"&amp;Sucursal!$B$4,Tabla_Registro_de_movimientos_app.accdb[Fecha],"&lt;="&amp;Sucursal!$C$4)</f>
        <v>0</v>
      </c>
      <c r="AG12" s="187" t="e">
        <f>AF12/AF$13</f>
        <v>#DIV/0!</v>
      </c>
      <c r="AH12" s="6">
        <f>SUMIFS(Tabla_Registro_de_movimientos_app.accdb[Importe_Ingreso],Tabla_Registro_de_movimientos_app.accdb[Sucursal],Sucursal!AH$5,Tabla_Registro_de_movimientos_app.accdb[Detalle de movimiento],Sucursal!$A12,Tabla_Registro_de_movimientos_app.accdb[Fecha],"&gt;"&amp;Sucursal!$B$4,Tabla_Registro_de_movimientos_app.accdb[Fecha],"&lt;="&amp;Sucursal!$C$4)</f>
        <v>0</v>
      </c>
      <c r="AI12" s="187" t="e">
        <f>AH12/AH$13</f>
        <v>#DIV/0!</v>
      </c>
      <c r="AJ12" s="6">
        <f>SUMIFS(Tabla_Registro_de_movimientos_app.accdb[Importe_Ingreso],Tabla_Registro_de_movimientos_app.accdb[Sucursal],Sucursal!AJ$5,Tabla_Registro_de_movimientos_app.accdb[Detalle de movimiento],Sucursal!$A12,Tabla_Registro_de_movimientos_app.accdb[Fecha],"&gt;"&amp;Sucursal!$B$4,Tabla_Registro_de_movimientos_app.accdb[Fecha],"&lt;="&amp;Sucursal!$C$4)</f>
        <v>0</v>
      </c>
      <c r="AK12" s="187" t="e">
        <f>AJ12/AJ$13</f>
        <v>#DIV/0!</v>
      </c>
      <c r="AM12" s="188">
        <f t="shared" si="3"/>
        <v>0</v>
      </c>
      <c r="AN12" s="189">
        <f t="shared" si="4"/>
        <v>0</v>
      </c>
    </row>
    <row r="13" spans="1:40" ht="15.75" thickBot="1" x14ac:dyDescent="0.3">
      <c r="A13" s="8" t="s">
        <v>38</v>
      </c>
      <c r="B13" s="190">
        <f t="shared" ref="B13:F13" si="5">SUM(B8:B12)</f>
        <v>0</v>
      </c>
      <c r="C13" s="191">
        <f>IFERROR(B13/$AM$13,0)</f>
        <v>0</v>
      </c>
      <c r="D13" s="190">
        <f t="shared" si="5"/>
        <v>0</v>
      </c>
      <c r="E13" s="191">
        <f>D13/$AM$13</f>
        <v>0</v>
      </c>
      <c r="F13" s="190">
        <f t="shared" si="5"/>
        <v>0</v>
      </c>
      <c r="G13" s="191">
        <f>IFERROR(F13/$AM$13,0)</f>
        <v>0</v>
      </c>
      <c r="H13" s="190">
        <f t="shared" ref="H13" si="6">SUM(H8:H12)</f>
        <v>0</v>
      </c>
      <c r="I13" s="191">
        <f>H13/$AM$13</f>
        <v>0</v>
      </c>
      <c r="J13" s="190">
        <f t="shared" ref="J13" si="7">SUM(J8:J12)</f>
        <v>0</v>
      </c>
      <c r="K13" s="191">
        <f>J13/$AM$13</f>
        <v>0</v>
      </c>
      <c r="L13" s="190">
        <f t="shared" ref="L13" si="8">SUM(L8:L12)</f>
        <v>0</v>
      </c>
      <c r="M13" s="191">
        <f>IFERROR(L13/$AM$13,0)</f>
        <v>0</v>
      </c>
      <c r="N13" s="190">
        <f t="shared" ref="N13" si="9">SUM(N8:N12)</f>
        <v>0</v>
      </c>
      <c r="O13" s="191">
        <f>N13/$AM$13</f>
        <v>0</v>
      </c>
      <c r="P13" s="190">
        <f t="shared" ref="P13" si="10">SUM(P8:P12)</f>
        <v>1500</v>
      </c>
      <c r="Q13" s="191">
        <f>P13/$AM$13</f>
        <v>1</v>
      </c>
      <c r="R13" s="190">
        <f t="shared" ref="R13" si="11">SUM(R8:R12)</f>
        <v>0</v>
      </c>
      <c r="S13" s="191">
        <f>R13/$AM$13</f>
        <v>0</v>
      </c>
      <c r="T13" s="190">
        <f t="shared" ref="T13" si="12">SUM(T8:T12)</f>
        <v>0</v>
      </c>
      <c r="U13" s="191">
        <f>T13/$AM$13</f>
        <v>0</v>
      </c>
      <c r="V13" s="190">
        <f t="shared" ref="V13" si="13">SUM(V8:V12)</f>
        <v>0</v>
      </c>
      <c r="W13" s="191">
        <f>V13/$AM$13</f>
        <v>0</v>
      </c>
      <c r="X13" s="190">
        <f t="shared" ref="X13" si="14">SUM(X8:X12)</f>
        <v>0</v>
      </c>
      <c r="Y13" s="191">
        <f>X13/$AM$13</f>
        <v>0</v>
      </c>
      <c r="Z13" s="190">
        <f t="shared" ref="Z13:AB13" si="15">SUM(Z8:Z12)</f>
        <v>0</v>
      </c>
      <c r="AA13" s="191">
        <f>Z13/$AM$13</f>
        <v>0</v>
      </c>
      <c r="AB13" s="190">
        <f t="shared" si="15"/>
        <v>0</v>
      </c>
      <c r="AC13" s="191">
        <f>AB13/$AM$13</f>
        <v>0</v>
      </c>
      <c r="AD13" s="190">
        <f t="shared" ref="AD13" si="16">SUM(AD8:AD12)</f>
        <v>0</v>
      </c>
      <c r="AE13" s="191">
        <f>AD13/$AM$13</f>
        <v>0</v>
      </c>
      <c r="AF13" s="190">
        <f t="shared" ref="AF13" si="17">SUM(AF8:AF12)</f>
        <v>0</v>
      </c>
      <c r="AG13" s="191">
        <f>AF13/$AM$13</f>
        <v>0</v>
      </c>
      <c r="AH13" s="190">
        <f t="shared" ref="AH13:AJ13" si="18">SUM(AH8:AH12)</f>
        <v>0</v>
      </c>
      <c r="AI13" s="191">
        <f>AH13/$AM$13</f>
        <v>0</v>
      </c>
      <c r="AJ13" s="190">
        <f t="shared" si="18"/>
        <v>0</v>
      </c>
      <c r="AK13" s="191">
        <f>AJ13/$AM$13</f>
        <v>0</v>
      </c>
      <c r="AL13" s="8"/>
      <c r="AM13" s="192">
        <f>SUM(AM8:AM12)</f>
        <v>1500</v>
      </c>
      <c r="AN13" s="193">
        <f>SUM(AN8:AN12)</f>
        <v>1</v>
      </c>
    </row>
    <row r="14" spans="1:40" ht="15.75" thickTop="1" x14ac:dyDescent="0.25"/>
    <row r="15" spans="1:40" x14ac:dyDescent="0.25">
      <c r="A15" s="7" t="s">
        <v>53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25">
      <c r="A16" t="s">
        <v>24</v>
      </c>
      <c r="B16">
        <f>SUMIFS(Tabla_Registro_de_movimientos_app.accdb[Importe_Inventario_I],Tabla_Registro_de_movimientos_app.accdb[Sucursal],Sucursal!$B$5,Tabla_Registro_de_movimientos_app.accdb[Detalle de movimiento],Sucursal!A16,Tabla_Registro_de_movimientos_app.accdb[Fecha],"&gt;"&amp;Sucursal!$B$4,Tabla_Registro_de_movimientos_app.accdb[Fecha],"&lt;="&amp;Sucursal!$C$4)</f>
        <v>0</v>
      </c>
      <c r="C16" s="194" t="e">
        <f>B16/$B$24</f>
        <v>#DIV/0!</v>
      </c>
      <c r="D16">
        <f>SUMIFS(Tabla_Registro_de_movimientos_app.accdb[Importe_Inventario_I],Tabla_Registro_de_movimientos_app.accdb[Sucursal],Sucursal!D$5,Tabla_Registro_de_movimientos_app.accdb[Detalle de movimiento],Sucursal!$A16,Tabla_Registro_de_movimientos_app.accdb[Fecha],"&gt;"&amp;Sucursal!$B$4,Tabla_Registro_de_movimientos_app.accdb[Fecha],"&lt;="&amp;Sucursal!$C$4)</f>
        <v>0</v>
      </c>
      <c r="E16" s="194" t="e">
        <f>D16/D$24</f>
        <v>#DIV/0!</v>
      </c>
      <c r="F16">
        <f>SUMIFS(Tabla_Registro_de_movimientos_app.accdb[Importe_Inventario_I],Tabla_Registro_de_movimientos_app.accdb[Sucursal],Sucursal!F$5,Tabla_Registro_de_movimientos_app.accdb[Detalle de movimiento],Sucursal!$A16,Tabla_Registro_de_movimientos_app.accdb[Fecha],"&gt;"&amp;Sucursal!$B$4,Tabla_Registro_de_movimientos_app.accdb[Fecha],"&lt;="&amp;Sucursal!$C$4)</f>
        <v>0</v>
      </c>
      <c r="G16" s="194" t="e">
        <f>F16/F$24</f>
        <v>#DIV/0!</v>
      </c>
      <c r="H16">
        <f>SUMIFS(Tabla_Registro_de_movimientos_app.accdb[Importe_Inventario_I],Tabla_Registro_de_movimientos_app.accdb[Sucursal],Sucursal!H$5,Tabla_Registro_de_movimientos_app.accdb[Detalle de movimiento],Sucursal!$A16,Tabla_Registro_de_movimientos_app.accdb[Fecha],"&gt;"&amp;Sucursal!$B$4,Tabla_Registro_de_movimientos_app.accdb[Fecha],"&lt;="&amp;Sucursal!$C$4)</f>
        <v>0</v>
      </c>
      <c r="I16" s="194" t="e">
        <f>H16/H$24</f>
        <v>#DIV/0!</v>
      </c>
      <c r="J16">
        <f>SUMIFS(Tabla_Registro_de_movimientos_app.accdb[Importe_Inventario_I],Tabla_Registro_de_movimientos_app.accdb[Sucursal],Sucursal!J$5,Tabla_Registro_de_movimientos_app.accdb[Detalle de movimiento],Sucursal!$A16,Tabla_Registro_de_movimientos_app.accdb[Fecha],"&gt;"&amp;Sucursal!$B$4,Tabla_Registro_de_movimientos_app.accdb[Fecha],"&lt;="&amp;Sucursal!$C$4)</f>
        <v>0</v>
      </c>
      <c r="K16" s="194" t="e">
        <f>J16/J$24</f>
        <v>#DIV/0!</v>
      </c>
      <c r="L16">
        <f>SUMIFS(Tabla_Registro_de_movimientos_app.accdb[Importe_Inventario_I],Tabla_Registro_de_movimientos_app.accdb[Sucursal],Sucursal!L$5,Tabla_Registro_de_movimientos_app.accdb[Detalle de movimiento],Sucursal!$A16,Tabla_Registro_de_movimientos_app.accdb[Fecha],"&gt;"&amp;Sucursal!$B$4,Tabla_Registro_de_movimientos_app.accdb[Fecha],"&lt;="&amp;Sucursal!$C$4)</f>
        <v>0</v>
      </c>
      <c r="M16" s="194" t="e">
        <f>L16/L$24</f>
        <v>#DIV/0!</v>
      </c>
      <c r="N16">
        <f>SUMIFS(Tabla_Registro_de_movimientos_app.accdb[Importe_Inventario_I],Tabla_Registro_de_movimientos_app.accdb[Sucursal],Sucursal!N$5,Tabla_Registro_de_movimientos_app.accdb[Detalle de movimiento],Sucursal!$A16,Tabla_Registro_de_movimientos_app.accdb[Fecha],"&gt;"&amp;Sucursal!$B$4,Tabla_Registro_de_movimientos_app.accdb[Fecha],"&lt;="&amp;Sucursal!$C$4)</f>
        <v>0</v>
      </c>
      <c r="O16" s="194" t="e">
        <f>N16/N$24</f>
        <v>#DIV/0!</v>
      </c>
      <c r="P16">
        <f>SUMIFS(Tabla_Registro_de_movimientos_app.accdb[Importe_Inventario_I],Tabla_Registro_de_movimientos_app.accdb[Sucursal],Sucursal!P$5,Tabla_Registro_de_movimientos_app.accdb[Detalle de movimiento],Sucursal!$A16,Tabla_Registro_de_movimientos_app.accdb[Fecha],"&gt;"&amp;Sucursal!$B$4,Tabla_Registro_de_movimientos_app.accdb[Fecha],"&lt;="&amp;Sucursal!$C$4)</f>
        <v>0</v>
      </c>
      <c r="Q16" s="194" t="e">
        <f>P16/P$24</f>
        <v>#DIV/0!</v>
      </c>
      <c r="R16">
        <f>SUMIFS(Tabla_Registro_de_movimientos_app.accdb[Importe_Inventario_I],Tabla_Registro_de_movimientos_app.accdb[Sucursal],Sucursal!R$5,Tabla_Registro_de_movimientos_app.accdb[Detalle de movimiento],Sucursal!$A16,Tabla_Registro_de_movimientos_app.accdb[Fecha],"&gt;"&amp;Sucursal!$B$4,Tabla_Registro_de_movimientos_app.accdb[Fecha],"&lt;="&amp;Sucursal!$C$4)</f>
        <v>0</v>
      </c>
      <c r="S16" s="194" t="e">
        <f>R16/R$24</f>
        <v>#DIV/0!</v>
      </c>
      <c r="T16">
        <f>SUMIFS(Tabla_Registro_de_movimientos_app.accdb[Importe_Inventario_I],Tabla_Registro_de_movimientos_app.accdb[Sucursal],Sucursal!T$5,Tabla_Registro_de_movimientos_app.accdb[Detalle de movimiento],Sucursal!$A16,Tabla_Registro_de_movimientos_app.accdb[Fecha],"&gt;"&amp;Sucursal!$B$4,Tabla_Registro_de_movimientos_app.accdb[Fecha],"&lt;="&amp;Sucursal!$C$4)</f>
        <v>0</v>
      </c>
      <c r="U16" s="194" t="e">
        <f>T16/T$24</f>
        <v>#DIV/0!</v>
      </c>
      <c r="V16">
        <f>SUMIFS(Tabla_Registro_de_movimientos_app.accdb[Importe_Inventario_I],Tabla_Registro_de_movimientos_app.accdb[Sucursal],Sucursal!V$5,Tabla_Registro_de_movimientos_app.accdb[Detalle de movimiento],Sucursal!$A16,Tabla_Registro_de_movimientos_app.accdb[Fecha],"&gt;"&amp;Sucursal!$B$4,Tabla_Registro_de_movimientos_app.accdb[Fecha],"&lt;="&amp;Sucursal!$C$4)</f>
        <v>0</v>
      </c>
      <c r="W16" s="194" t="e">
        <f>V16/V$24</f>
        <v>#DIV/0!</v>
      </c>
      <c r="X16">
        <f>SUMIFS(Tabla_Registro_de_movimientos_app.accdb[Importe_Inventario_I],Tabla_Registro_de_movimientos_app.accdb[Sucursal],Sucursal!X$5,Tabla_Registro_de_movimientos_app.accdb[Detalle de movimiento],Sucursal!$A16,Tabla_Registro_de_movimientos_app.accdb[Fecha],"&gt;"&amp;Sucursal!$B$4,Tabla_Registro_de_movimientos_app.accdb[Fecha],"&lt;="&amp;Sucursal!$C$4)</f>
        <v>0</v>
      </c>
      <c r="Y16" s="194" t="e">
        <f>X16/X$24</f>
        <v>#DIV/0!</v>
      </c>
      <c r="Z16">
        <f>SUMIFS(Tabla_Registro_de_movimientos_app.accdb[Importe_Inventario_I],Tabla_Registro_de_movimientos_app.accdb[Sucursal],Sucursal!Z$5,Tabla_Registro_de_movimientos_app.accdb[Detalle de movimiento],Sucursal!$A16,Tabla_Registro_de_movimientos_app.accdb[Fecha],"&gt;"&amp;Sucursal!$B$4,Tabla_Registro_de_movimientos_app.accdb[Fecha],"&lt;="&amp;Sucursal!$C$4)</f>
        <v>0</v>
      </c>
      <c r="AA16" s="194" t="e">
        <f>Z16/Z$24</f>
        <v>#DIV/0!</v>
      </c>
      <c r="AB16">
        <f>SUMIFS(Tabla_Registro_de_movimientos_app.accdb[Importe_Inventario_I],Tabla_Registro_de_movimientos_app.accdb[Sucursal],Sucursal!AB$5,Tabla_Registro_de_movimientos_app.accdb[Detalle de movimiento],Sucursal!$A16,Tabla_Registro_de_movimientos_app.accdb[Fecha],"&gt;"&amp;Sucursal!$B$4,Tabla_Registro_de_movimientos_app.accdb[Fecha],"&lt;="&amp;Sucursal!$C$4)</f>
        <v>0</v>
      </c>
      <c r="AC16" s="194" t="e">
        <f>AB16/AB$24</f>
        <v>#DIV/0!</v>
      </c>
      <c r="AD16">
        <f>SUMIFS(Tabla_Registro_de_movimientos_app.accdb[Importe_Inventario_I],Tabla_Registro_de_movimientos_app.accdb[Sucursal],Sucursal!AD$5,Tabla_Registro_de_movimientos_app.accdb[Detalle de movimiento],Sucursal!$A16,Tabla_Registro_de_movimientos_app.accdb[Fecha],"&gt;"&amp;Sucursal!$B$4,Tabla_Registro_de_movimientos_app.accdb[Fecha],"&lt;="&amp;Sucursal!$C$4)</f>
        <v>0</v>
      </c>
      <c r="AE16" s="194" t="e">
        <f>AD16/AD$24</f>
        <v>#DIV/0!</v>
      </c>
      <c r="AF16">
        <f>SUMIFS(Tabla_Registro_de_movimientos_app.accdb[Importe_Inventario_I],Tabla_Registro_de_movimientos_app.accdb[Sucursal],Sucursal!AF$5,Tabla_Registro_de_movimientos_app.accdb[Detalle de movimiento],Sucursal!$A16,Tabla_Registro_de_movimientos_app.accdb[Fecha],"&gt;"&amp;Sucursal!$B$4,Tabla_Registro_de_movimientos_app.accdb[Fecha],"&lt;="&amp;Sucursal!$C$4)</f>
        <v>0</v>
      </c>
      <c r="AG16" s="194" t="e">
        <f>AF16/AF$24</f>
        <v>#DIV/0!</v>
      </c>
      <c r="AH16">
        <f>SUMIFS(Tabla_Registro_de_movimientos_app.accdb[Importe_Inventario_I],Tabla_Registro_de_movimientos_app.accdb[Sucursal],Sucursal!AH$5,Tabla_Registro_de_movimientos_app.accdb[Detalle de movimiento],Sucursal!$A16,Tabla_Registro_de_movimientos_app.accdb[Fecha],"&gt;"&amp;Sucursal!$B$4,Tabla_Registro_de_movimientos_app.accdb[Fecha],"&lt;="&amp;Sucursal!$C$4)</f>
        <v>0</v>
      </c>
      <c r="AI16" s="194" t="e">
        <f>AH16/AH$24</f>
        <v>#DIV/0!</v>
      </c>
      <c r="AJ16">
        <f>SUMIFS(Tabla_Registro_de_movimientos_app.accdb[Importe_Inventario_I],Tabla_Registro_de_movimientos_app.accdb[Sucursal],Sucursal!AJ$5,Tabla_Registro_de_movimientos_app.accdb[Detalle de movimiento],Sucursal!$A16,Tabla_Registro_de_movimientos_app.accdb[Fecha],"&gt;"&amp;Sucursal!$B$4,Tabla_Registro_de_movimientos_app.accdb[Fecha],"&lt;="&amp;Sucursal!$C$4)</f>
        <v>0</v>
      </c>
      <c r="AK16" s="194" t="e">
        <f>AJ16/AJ$24</f>
        <v>#DIV/0!</v>
      </c>
      <c r="AM16" s="188">
        <f>SUM(B16,D16,F16,H16,J16,L16,N16,P16,R16,T16,V16,X16,Z16,AB16,AD16,AF16,AH16,AJ16)</f>
        <v>0</v>
      </c>
      <c r="AN16" s="189" t="e">
        <f>AM16/$AM$24</f>
        <v>#DIV/0!</v>
      </c>
    </row>
    <row r="17" spans="1:40" x14ac:dyDescent="0.25">
      <c r="A17" t="s">
        <v>21</v>
      </c>
      <c r="B17">
        <f>SUMIFS(Tabla_Registro_de_movimientos_app.accdb[Importe_Costo],Tabla_Registro_de_movimientos_app.accdb[Sucursal],Sucursal!$B$5,Tabla_Registro_de_movimientos_app.accdb[Detalle de movimiento],Sucursal!A17,Tabla_Registro_de_movimientos_app.accdb[Fecha],"&gt;"&amp;Sucursal!$B$4,Tabla_Registro_de_movimientos_app.accdb[Fecha],"&lt;="&amp;Sucursal!$C$4)</f>
        <v>0</v>
      </c>
      <c r="C17" s="194" t="e">
        <f t="shared" ref="C17:C23" si="19">B17/$B$24</f>
        <v>#DIV/0!</v>
      </c>
      <c r="D17">
        <f>SUMIFS(Tabla_Registro_de_movimientos_app.accdb[Importe_Costo],Tabla_Registro_de_movimientos_app.accdb[Sucursal],Sucursal!D$5,Tabla_Registro_de_movimientos_app.accdb[Detalle de movimiento],Sucursal!$A17,Tabla_Registro_de_movimientos_app.accdb[Fecha],"&gt;"&amp;Sucursal!$B$4,Tabla_Registro_de_movimientos_app.accdb[Fecha],"&lt;="&amp;Sucursal!$C$4)</f>
        <v>0</v>
      </c>
      <c r="E17" s="194" t="e">
        <f>D17/D$24</f>
        <v>#DIV/0!</v>
      </c>
      <c r="F17">
        <f>SUMIFS(Tabla_Registro_de_movimientos_app.accdb[Importe_Costo],Tabla_Registro_de_movimientos_app.accdb[Sucursal],Sucursal!F$5,Tabla_Registro_de_movimientos_app.accdb[Detalle de movimiento],Sucursal!$A17,Tabla_Registro_de_movimientos_app.accdb[Fecha],"&gt;"&amp;Sucursal!$B$4,Tabla_Registro_de_movimientos_app.accdb[Fecha],"&lt;="&amp;Sucursal!$C$4)</f>
        <v>0</v>
      </c>
      <c r="G17" s="194" t="e">
        <f>F17/F$24</f>
        <v>#DIV/0!</v>
      </c>
      <c r="H17">
        <f>SUMIFS(Tabla_Registro_de_movimientos_app.accdb[Importe_Costo],Tabla_Registro_de_movimientos_app.accdb[Sucursal],Sucursal!H$5,Tabla_Registro_de_movimientos_app.accdb[Detalle de movimiento],Sucursal!$A17,Tabla_Registro_de_movimientos_app.accdb[Fecha],"&gt;"&amp;Sucursal!$B$4,Tabla_Registro_de_movimientos_app.accdb[Fecha],"&lt;="&amp;Sucursal!$C$4)</f>
        <v>0</v>
      </c>
      <c r="I17" s="194" t="e">
        <f>H17/H$24</f>
        <v>#DIV/0!</v>
      </c>
      <c r="J17">
        <f>SUMIFS(Tabla_Registro_de_movimientos_app.accdb[Importe_Costo],Tabla_Registro_de_movimientos_app.accdb[Sucursal],Sucursal!J$5,Tabla_Registro_de_movimientos_app.accdb[Detalle de movimiento],Sucursal!$A17,Tabla_Registro_de_movimientos_app.accdb[Fecha],"&gt;"&amp;Sucursal!$B$4,Tabla_Registro_de_movimientos_app.accdb[Fecha],"&lt;="&amp;Sucursal!$C$4)</f>
        <v>0</v>
      </c>
      <c r="K17" s="194" t="e">
        <f>J17/J$24</f>
        <v>#DIV/0!</v>
      </c>
      <c r="L17">
        <f>SUMIFS(Tabla_Registro_de_movimientos_app.accdb[Importe_Costo],Tabla_Registro_de_movimientos_app.accdb[Sucursal],Sucursal!L$5,Tabla_Registro_de_movimientos_app.accdb[Detalle de movimiento],Sucursal!$A17,Tabla_Registro_de_movimientos_app.accdb[Fecha],"&gt;"&amp;Sucursal!$B$4,Tabla_Registro_de_movimientos_app.accdb[Fecha],"&lt;="&amp;Sucursal!$C$4)</f>
        <v>0</v>
      </c>
      <c r="M17" s="194" t="e">
        <f>L17/L$24</f>
        <v>#DIV/0!</v>
      </c>
      <c r="N17">
        <f>SUMIFS(Tabla_Registro_de_movimientos_app.accdb[Importe_Costo],Tabla_Registro_de_movimientos_app.accdb[Sucursal],Sucursal!N$5,Tabla_Registro_de_movimientos_app.accdb[Detalle de movimiento],Sucursal!$A17,Tabla_Registro_de_movimientos_app.accdb[Fecha],"&gt;"&amp;Sucursal!$B$4,Tabla_Registro_de_movimientos_app.accdb[Fecha],"&lt;="&amp;Sucursal!$C$4)</f>
        <v>0</v>
      </c>
      <c r="O17" s="194" t="e">
        <f>N17/N$24</f>
        <v>#DIV/0!</v>
      </c>
      <c r="P17">
        <f>SUMIFS(Tabla_Registro_de_movimientos_app.accdb[Importe_Costo],Tabla_Registro_de_movimientos_app.accdb[Sucursal],Sucursal!P$5,Tabla_Registro_de_movimientos_app.accdb[Detalle de movimiento],Sucursal!$A17,Tabla_Registro_de_movimientos_app.accdb[Fecha],"&gt;"&amp;Sucursal!$B$4,Tabla_Registro_de_movimientos_app.accdb[Fecha],"&lt;="&amp;Sucursal!$C$4)</f>
        <v>0</v>
      </c>
      <c r="Q17" s="194" t="e">
        <f>P17/P$24</f>
        <v>#DIV/0!</v>
      </c>
      <c r="R17">
        <f>SUMIFS(Tabla_Registro_de_movimientos_app.accdb[Importe_Costo],Tabla_Registro_de_movimientos_app.accdb[Sucursal],Sucursal!R$5,Tabla_Registro_de_movimientos_app.accdb[Detalle de movimiento],Sucursal!$A17,Tabla_Registro_de_movimientos_app.accdb[Fecha],"&gt;"&amp;Sucursal!$B$4,Tabla_Registro_de_movimientos_app.accdb[Fecha],"&lt;="&amp;Sucursal!$C$4)</f>
        <v>0</v>
      </c>
      <c r="S17" s="194" t="e">
        <f>R17/R$24</f>
        <v>#DIV/0!</v>
      </c>
      <c r="T17">
        <f>SUMIFS(Tabla_Registro_de_movimientos_app.accdb[Importe_Costo],Tabla_Registro_de_movimientos_app.accdb[Sucursal],Sucursal!T$5,Tabla_Registro_de_movimientos_app.accdb[Detalle de movimiento],Sucursal!$A17,Tabla_Registro_de_movimientos_app.accdb[Fecha],"&gt;"&amp;Sucursal!$B$4,Tabla_Registro_de_movimientos_app.accdb[Fecha],"&lt;="&amp;Sucursal!$C$4)</f>
        <v>0</v>
      </c>
      <c r="U17" s="194" t="e">
        <f>T17/T$24</f>
        <v>#DIV/0!</v>
      </c>
      <c r="V17">
        <f>SUMIFS(Tabla_Registro_de_movimientos_app.accdb[Importe_Costo],Tabla_Registro_de_movimientos_app.accdb[Sucursal],Sucursal!V$5,Tabla_Registro_de_movimientos_app.accdb[Detalle de movimiento],Sucursal!$A17,Tabla_Registro_de_movimientos_app.accdb[Fecha],"&gt;"&amp;Sucursal!$B$4,Tabla_Registro_de_movimientos_app.accdb[Fecha],"&lt;="&amp;Sucursal!$C$4)</f>
        <v>0</v>
      </c>
      <c r="W17" s="194" t="e">
        <f>V17/V$24</f>
        <v>#DIV/0!</v>
      </c>
      <c r="X17">
        <f>SUMIFS(Tabla_Registro_de_movimientos_app.accdb[Importe_Costo],Tabla_Registro_de_movimientos_app.accdb[Sucursal],Sucursal!X$5,Tabla_Registro_de_movimientos_app.accdb[Detalle de movimiento],Sucursal!$A17,Tabla_Registro_de_movimientos_app.accdb[Fecha],"&gt;"&amp;Sucursal!$B$4,Tabla_Registro_de_movimientos_app.accdb[Fecha],"&lt;="&amp;Sucursal!$C$4)</f>
        <v>0</v>
      </c>
      <c r="Y17" s="194" t="e">
        <f>X17/X$24</f>
        <v>#DIV/0!</v>
      </c>
      <c r="Z17">
        <f>SUMIFS(Tabla_Registro_de_movimientos_app.accdb[Importe_Costo],Tabla_Registro_de_movimientos_app.accdb[Sucursal],Sucursal!Z$5,Tabla_Registro_de_movimientos_app.accdb[Detalle de movimiento],Sucursal!$A17,Tabla_Registro_de_movimientos_app.accdb[Fecha],"&gt;"&amp;Sucursal!$B$4,Tabla_Registro_de_movimientos_app.accdb[Fecha],"&lt;="&amp;Sucursal!$C$4)</f>
        <v>0</v>
      </c>
      <c r="AA17" s="194" t="e">
        <f>Z17/Z$24</f>
        <v>#DIV/0!</v>
      </c>
      <c r="AB17">
        <f>SUMIFS(Tabla_Registro_de_movimientos_app.accdb[Importe_Costo],Tabla_Registro_de_movimientos_app.accdb[Sucursal],Sucursal!AB$5,Tabla_Registro_de_movimientos_app.accdb[Detalle de movimiento],Sucursal!$A17,Tabla_Registro_de_movimientos_app.accdb[Fecha],"&gt;"&amp;Sucursal!$B$4,Tabla_Registro_de_movimientos_app.accdb[Fecha],"&lt;="&amp;Sucursal!$C$4)</f>
        <v>0</v>
      </c>
      <c r="AC17" s="194" t="e">
        <f>AB17/AB$24</f>
        <v>#DIV/0!</v>
      </c>
      <c r="AD17">
        <f>SUMIFS(Tabla_Registro_de_movimientos_app.accdb[Importe_Costo],Tabla_Registro_de_movimientos_app.accdb[Sucursal],Sucursal!AD$5,Tabla_Registro_de_movimientos_app.accdb[Detalle de movimiento],Sucursal!$A17,Tabla_Registro_de_movimientos_app.accdb[Fecha],"&gt;"&amp;Sucursal!$B$4,Tabla_Registro_de_movimientos_app.accdb[Fecha],"&lt;="&amp;Sucursal!$C$4)</f>
        <v>0</v>
      </c>
      <c r="AE17" s="194" t="e">
        <f>AD17/AD$24</f>
        <v>#DIV/0!</v>
      </c>
      <c r="AF17">
        <f>SUMIFS(Tabla_Registro_de_movimientos_app.accdb[Importe_Costo],Tabla_Registro_de_movimientos_app.accdb[Sucursal],Sucursal!AF$5,Tabla_Registro_de_movimientos_app.accdb[Detalle de movimiento],Sucursal!$A17,Tabla_Registro_de_movimientos_app.accdb[Fecha],"&gt;"&amp;Sucursal!$B$4,Tabla_Registro_de_movimientos_app.accdb[Fecha],"&lt;="&amp;Sucursal!$C$4)</f>
        <v>0</v>
      </c>
      <c r="AG17" s="194" t="e">
        <f>AF17/AF$24</f>
        <v>#DIV/0!</v>
      </c>
      <c r="AH17">
        <f>SUMIFS(Tabla_Registro_de_movimientos_app.accdb[Importe_Costo],Tabla_Registro_de_movimientos_app.accdb[Sucursal],Sucursal!AH$5,Tabla_Registro_de_movimientos_app.accdb[Detalle de movimiento],Sucursal!$A17,Tabla_Registro_de_movimientos_app.accdb[Fecha],"&gt;"&amp;Sucursal!$B$4,Tabla_Registro_de_movimientos_app.accdb[Fecha],"&lt;="&amp;Sucursal!$C$4)</f>
        <v>0</v>
      </c>
      <c r="AI17" s="194" t="e">
        <f>AH17/AH$24</f>
        <v>#DIV/0!</v>
      </c>
      <c r="AJ17">
        <f>SUMIFS(Tabla_Registro_de_movimientos_app.accdb[Importe_Costo],Tabla_Registro_de_movimientos_app.accdb[Sucursal],Sucursal!AJ$5,Tabla_Registro_de_movimientos_app.accdb[Detalle de movimiento],Sucursal!$A17,Tabla_Registro_de_movimientos_app.accdb[Fecha],"&gt;"&amp;Sucursal!$B$4,Tabla_Registro_de_movimientos_app.accdb[Fecha],"&lt;="&amp;Sucursal!$C$4)</f>
        <v>0</v>
      </c>
      <c r="AK17" s="194" t="e">
        <f>AJ17/AJ$24</f>
        <v>#DIV/0!</v>
      </c>
      <c r="AM17" s="188">
        <f t="shared" ref="AM17:AM23" si="20">SUM(B17,D17,F17,H17,J17,L17,N17,P17,R17,T17,V17,X17,Z17,AB17,AD17,AF17,AH17,AJ17)</f>
        <v>0</v>
      </c>
      <c r="AN17" s="189" t="e">
        <f t="shared" ref="AN17:AN23" si="21">AM17/$AM$24</f>
        <v>#DIV/0!</v>
      </c>
    </row>
    <row r="18" spans="1:40" x14ac:dyDescent="0.25">
      <c r="A18" t="s">
        <v>54</v>
      </c>
      <c r="B18">
        <f>SUMIFS(Tabla_Registro_de_movimientos_app.accdb[Importe_Costo],Tabla_Registro_de_movimientos_app.accdb[Sucursal],Sucursal!$B$5,Tabla_Registro_de_movimientos_app.accdb[Detalle de movimiento],Sucursal!A18,Tabla_Registro_de_movimientos_app.accdb[Fecha],"&gt;"&amp;Sucursal!$B$4,Tabla_Registro_de_movimientos_app.accdb[Fecha],"&lt;="&amp;Sucursal!$C$4)</f>
        <v>0</v>
      </c>
      <c r="C18" s="194" t="e">
        <f t="shared" si="19"/>
        <v>#DIV/0!</v>
      </c>
      <c r="D18">
        <f>SUMIFS(Tabla_Registro_de_movimientos_app.accdb[Importe_Costo],Tabla_Registro_de_movimientos_app.accdb[Sucursal],Sucursal!D$5,Tabla_Registro_de_movimientos_app.accdb[Detalle de movimiento],Sucursal!$A18,Tabla_Registro_de_movimientos_app.accdb[Fecha],"&gt;"&amp;Sucursal!$B$4,Tabla_Registro_de_movimientos_app.accdb[Fecha],"&lt;="&amp;Sucursal!$C$4)</f>
        <v>0</v>
      </c>
      <c r="E18" s="194" t="e">
        <f t="shared" ref="E18:E23" si="22">D18/D$24</f>
        <v>#DIV/0!</v>
      </c>
      <c r="F18">
        <f>SUMIFS(Tabla_Registro_de_movimientos_app.accdb[Importe_Costo],Tabla_Registro_de_movimientos_app.accdb[Sucursal],Sucursal!F$5,Tabla_Registro_de_movimientos_app.accdb[Detalle de movimiento],Sucursal!$A18,Tabla_Registro_de_movimientos_app.accdb[Fecha],"&gt;"&amp;Sucursal!$B$4,Tabla_Registro_de_movimientos_app.accdb[Fecha],"&lt;="&amp;Sucursal!$C$4)</f>
        <v>0</v>
      </c>
      <c r="G18" s="194" t="e">
        <f t="shared" ref="G18" si="23">F18/F$24</f>
        <v>#DIV/0!</v>
      </c>
      <c r="H18">
        <f>SUMIFS(Tabla_Registro_de_movimientos_app.accdb[Importe_Costo],Tabla_Registro_de_movimientos_app.accdb[Sucursal],Sucursal!H$5,Tabla_Registro_de_movimientos_app.accdb[Detalle de movimiento],Sucursal!$A18,Tabla_Registro_de_movimientos_app.accdb[Fecha],"&gt;"&amp;Sucursal!$B$4,Tabla_Registro_de_movimientos_app.accdb[Fecha],"&lt;="&amp;Sucursal!$C$4)</f>
        <v>0</v>
      </c>
      <c r="I18" s="194" t="e">
        <f t="shared" ref="I18:I23" si="24">H18/H$24</f>
        <v>#DIV/0!</v>
      </c>
      <c r="J18">
        <f>SUMIFS(Tabla_Registro_de_movimientos_app.accdb[Importe_Costo],Tabla_Registro_de_movimientos_app.accdb[Sucursal],Sucursal!J$5,Tabla_Registro_de_movimientos_app.accdb[Detalle de movimiento],Sucursal!$A18,Tabla_Registro_de_movimientos_app.accdb[Fecha],"&gt;"&amp;Sucursal!$B$4,Tabla_Registro_de_movimientos_app.accdb[Fecha],"&lt;="&amp;Sucursal!$C$4)</f>
        <v>0</v>
      </c>
      <c r="K18" s="194" t="e">
        <f t="shared" ref="K18:K23" si="25">J18/J$24</f>
        <v>#DIV/0!</v>
      </c>
      <c r="L18">
        <f>SUMIFS(Tabla_Registro_de_movimientos_app.accdb[Importe_Costo],Tabla_Registro_de_movimientos_app.accdb[Sucursal],Sucursal!L$5,Tabla_Registro_de_movimientos_app.accdb[Detalle de movimiento],Sucursal!$A18,Tabla_Registro_de_movimientos_app.accdb[Fecha],"&gt;"&amp;Sucursal!$B$4,Tabla_Registro_de_movimientos_app.accdb[Fecha],"&lt;="&amp;Sucursal!$C$4)</f>
        <v>0</v>
      </c>
      <c r="M18" s="194" t="e">
        <f t="shared" ref="M18:M23" si="26">L18/L$24</f>
        <v>#DIV/0!</v>
      </c>
      <c r="N18">
        <f>SUMIFS(Tabla_Registro_de_movimientos_app.accdb[Importe_Costo],Tabla_Registro_de_movimientos_app.accdb[Sucursal],Sucursal!N$5,Tabla_Registro_de_movimientos_app.accdb[Detalle de movimiento],Sucursal!$A18,Tabla_Registro_de_movimientos_app.accdb[Fecha],"&gt;"&amp;Sucursal!$B$4,Tabla_Registro_de_movimientos_app.accdb[Fecha],"&lt;="&amp;Sucursal!$C$4)</f>
        <v>0</v>
      </c>
      <c r="O18" s="194" t="e">
        <f t="shared" ref="O18:O23" si="27">N18/N$24</f>
        <v>#DIV/0!</v>
      </c>
      <c r="P18">
        <f>SUMIFS(Tabla_Registro_de_movimientos_app.accdb[Importe_Costo],Tabla_Registro_de_movimientos_app.accdb[Sucursal],Sucursal!P$5,Tabla_Registro_de_movimientos_app.accdb[Detalle de movimiento],Sucursal!$A18,Tabla_Registro_de_movimientos_app.accdb[Fecha],"&gt;"&amp;Sucursal!$B$4,Tabla_Registro_de_movimientos_app.accdb[Fecha],"&lt;="&amp;Sucursal!$C$4)</f>
        <v>0</v>
      </c>
      <c r="Q18" s="194" t="e">
        <f t="shared" ref="Q18:Q23" si="28">P18/P$24</f>
        <v>#DIV/0!</v>
      </c>
      <c r="R18">
        <f>SUMIFS(Tabla_Registro_de_movimientos_app.accdb[Importe_Costo],Tabla_Registro_de_movimientos_app.accdb[Sucursal],Sucursal!R$5,Tabla_Registro_de_movimientos_app.accdb[Detalle de movimiento],Sucursal!$A18,Tabla_Registro_de_movimientos_app.accdb[Fecha],"&gt;"&amp;Sucursal!$B$4,Tabla_Registro_de_movimientos_app.accdb[Fecha],"&lt;="&amp;Sucursal!$C$4)</f>
        <v>0</v>
      </c>
      <c r="S18" s="194" t="e">
        <f t="shared" ref="S18:S23" si="29">R18/R$24</f>
        <v>#DIV/0!</v>
      </c>
      <c r="T18">
        <f>SUMIFS(Tabla_Registro_de_movimientos_app.accdb[Importe_Costo],Tabla_Registro_de_movimientos_app.accdb[Sucursal],Sucursal!T$5,Tabla_Registro_de_movimientos_app.accdb[Detalle de movimiento],Sucursal!$A18,Tabla_Registro_de_movimientos_app.accdb[Fecha],"&gt;"&amp;Sucursal!$B$4,Tabla_Registro_de_movimientos_app.accdb[Fecha],"&lt;="&amp;Sucursal!$C$4)</f>
        <v>0</v>
      </c>
      <c r="U18" s="194" t="e">
        <f t="shared" ref="U18:U23" si="30">T18/T$24</f>
        <v>#DIV/0!</v>
      </c>
      <c r="V18">
        <f>SUMIFS(Tabla_Registro_de_movimientos_app.accdb[Importe_Costo],Tabla_Registro_de_movimientos_app.accdb[Sucursal],Sucursal!V$5,Tabla_Registro_de_movimientos_app.accdb[Detalle de movimiento],Sucursal!$A18,Tabla_Registro_de_movimientos_app.accdb[Fecha],"&gt;"&amp;Sucursal!$B$4,Tabla_Registro_de_movimientos_app.accdb[Fecha],"&lt;="&amp;Sucursal!$C$4)</f>
        <v>0</v>
      </c>
      <c r="W18" s="194" t="e">
        <f t="shared" ref="W18:W23" si="31">V18/V$24</f>
        <v>#DIV/0!</v>
      </c>
      <c r="X18">
        <f>SUMIFS(Tabla_Registro_de_movimientos_app.accdb[Importe_Costo],Tabla_Registro_de_movimientos_app.accdb[Sucursal],Sucursal!X$5,Tabla_Registro_de_movimientos_app.accdb[Detalle de movimiento],Sucursal!$A18,Tabla_Registro_de_movimientos_app.accdb[Fecha],"&gt;"&amp;Sucursal!$B$4,Tabla_Registro_de_movimientos_app.accdb[Fecha],"&lt;="&amp;Sucursal!$C$4)</f>
        <v>0</v>
      </c>
      <c r="Y18" s="194" t="e">
        <f t="shared" ref="Y18:Y23" si="32">X18/X$24</f>
        <v>#DIV/0!</v>
      </c>
      <c r="Z18">
        <f>SUMIFS(Tabla_Registro_de_movimientos_app.accdb[Importe_Costo],Tabla_Registro_de_movimientos_app.accdb[Sucursal],Sucursal!Z$5,Tabla_Registro_de_movimientos_app.accdb[Detalle de movimiento],Sucursal!$A18,Tabla_Registro_de_movimientos_app.accdb[Fecha],"&gt;"&amp;Sucursal!$B$4,Tabla_Registro_de_movimientos_app.accdb[Fecha],"&lt;="&amp;Sucursal!$C$4)</f>
        <v>0</v>
      </c>
      <c r="AA18" s="194" t="e">
        <f t="shared" ref="AA18:AA23" si="33">Z18/Z$24</f>
        <v>#DIV/0!</v>
      </c>
      <c r="AB18">
        <f>SUMIFS(Tabla_Registro_de_movimientos_app.accdb[Importe_Costo],Tabla_Registro_de_movimientos_app.accdb[Sucursal],Sucursal!AB$5,Tabla_Registro_de_movimientos_app.accdb[Detalle de movimiento],Sucursal!$A18,Tabla_Registro_de_movimientos_app.accdb[Fecha],"&gt;"&amp;Sucursal!$B$4,Tabla_Registro_de_movimientos_app.accdb[Fecha],"&lt;="&amp;Sucursal!$C$4)</f>
        <v>0</v>
      </c>
      <c r="AC18" s="194" t="e">
        <f t="shared" ref="AC18:AC23" si="34">AB18/AB$24</f>
        <v>#DIV/0!</v>
      </c>
      <c r="AD18">
        <f>SUMIFS(Tabla_Registro_de_movimientos_app.accdb[Importe_Costo],Tabla_Registro_de_movimientos_app.accdb[Sucursal],Sucursal!AD$5,Tabla_Registro_de_movimientos_app.accdb[Detalle de movimiento],Sucursal!$A18,Tabla_Registro_de_movimientos_app.accdb[Fecha],"&gt;"&amp;Sucursal!$B$4,Tabla_Registro_de_movimientos_app.accdb[Fecha],"&lt;="&amp;Sucursal!$C$4)</f>
        <v>0</v>
      </c>
      <c r="AE18" s="194" t="e">
        <f t="shared" ref="AE18:AE23" si="35">AD18/AD$24</f>
        <v>#DIV/0!</v>
      </c>
      <c r="AF18">
        <f>SUMIFS(Tabla_Registro_de_movimientos_app.accdb[Importe_Costo],Tabla_Registro_de_movimientos_app.accdb[Sucursal],Sucursal!AF$5,Tabla_Registro_de_movimientos_app.accdb[Detalle de movimiento],Sucursal!$A18,Tabla_Registro_de_movimientos_app.accdb[Fecha],"&gt;"&amp;Sucursal!$B$4,Tabla_Registro_de_movimientos_app.accdb[Fecha],"&lt;="&amp;Sucursal!$C$4)</f>
        <v>0</v>
      </c>
      <c r="AG18" s="194" t="e">
        <f t="shared" ref="AG18:AG23" si="36">AF18/AF$24</f>
        <v>#DIV/0!</v>
      </c>
      <c r="AH18">
        <f>SUMIFS(Tabla_Registro_de_movimientos_app.accdb[Importe_Costo],Tabla_Registro_de_movimientos_app.accdb[Sucursal],Sucursal!AH$5,Tabla_Registro_de_movimientos_app.accdb[Detalle de movimiento],Sucursal!$A18,Tabla_Registro_de_movimientos_app.accdb[Fecha],"&gt;"&amp;Sucursal!$B$4,Tabla_Registro_de_movimientos_app.accdb[Fecha],"&lt;="&amp;Sucursal!$C$4)</f>
        <v>0</v>
      </c>
      <c r="AI18" s="194" t="e">
        <f t="shared" ref="AI18:AI23" si="37">AH18/AH$24</f>
        <v>#DIV/0!</v>
      </c>
      <c r="AJ18">
        <f>SUMIFS(Tabla_Registro_de_movimientos_app.accdb[Importe_Costo],Tabla_Registro_de_movimientos_app.accdb[Sucursal],Sucursal!AJ$5,Tabla_Registro_de_movimientos_app.accdb[Detalle de movimiento],Sucursal!$A18,Tabla_Registro_de_movimientos_app.accdb[Fecha],"&gt;"&amp;Sucursal!$B$4,Tabla_Registro_de_movimientos_app.accdb[Fecha],"&lt;="&amp;Sucursal!$C$4)</f>
        <v>0</v>
      </c>
      <c r="AK18" s="194" t="e">
        <f t="shared" ref="AK18:AK23" si="38">AJ18/AJ$24</f>
        <v>#DIV/0!</v>
      </c>
      <c r="AM18" s="188">
        <f t="shared" si="20"/>
        <v>0</v>
      </c>
      <c r="AN18" s="189" t="e">
        <f t="shared" si="21"/>
        <v>#DIV/0!</v>
      </c>
    </row>
    <row r="19" spans="1:40" x14ac:dyDescent="0.25">
      <c r="A19" t="s">
        <v>29</v>
      </c>
      <c r="B19" s="115">
        <f>SUMIFS(Tabla_Registro_de_movimientos_app.accdb[Importe_Costo],Tabla_Registro_de_movimientos_app.accdb[Sucursal],Sucursal!$B$5,Tabla_Registro_de_movimientos_app.accdb[Detalle de movimiento],Sucursal!A19,Tabla_Registro_de_movimientos_app.accdb[Fecha],"&gt;"&amp;Sucursal!$B$4,Tabla_Registro_de_movimientos_app.accdb[Fecha],"&lt;="&amp;Sucursal!$C$4)</f>
        <v>0</v>
      </c>
      <c r="C19" s="194" t="e">
        <f t="shared" si="19"/>
        <v>#DIV/0!</v>
      </c>
      <c r="D19" s="115">
        <f>SUMIFS(Tabla_Registro_de_movimientos_app.accdb[Importe_Costo],Tabla_Registro_de_movimientos_app.accdb[Sucursal],Sucursal!D$5,Tabla_Registro_de_movimientos_app.accdb[Detalle de movimiento],Sucursal!$A19,Tabla_Registro_de_movimientos_app.accdb[Fecha],"&gt;"&amp;Sucursal!$B$4,Tabla_Registro_de_movimientos_app.accdb[Fecha],"&lt;="&amp;Sucursal!$C$4)</f>
        <v>0</v>
      </c>
      <c r="E19" s="194" t="e">
        <f t="shared" si="22"/>
        <v>#DIV/0!</v>
      </c>
      <c r="F19" s="115">
        <f>SUMIFS(Tabla_Registro_de_movimientos_app.accdb[Importe_Costo],Tabla_Registro_de_movimientos_app.accdb[Sucursal],Sucursal!F$5,Tabla_Registro_de_movimientos_app.accdb[Detalle de movimiento],Sucursal!$A19,Tabla_Registro_de_movimientos_app.accdb[Fecha],"&gt;"&amp;Sucursal!$B$4,Tabla_Registro_de_movimientos_app.accdb[Fecha],"&lt;="&amp;Sucursal!$C$4)</f>
        <v>0</v>
      </c>
      <c r="G19" s="194" t="e">
        <f t="shared" ref="G19" si="39">F19/F$24</f>
        <v>#DIV/0!</v>
      </c>
      <c r="H19">
        <f>SUMIFS(Tabla_Registro_de_movimientos_app.accdb[Importe_Costo],Tabla_Registro_de_movimientos_app.accdb[Sucursal],Sucursal!H$5,Tabla_Registro_de_movimientos_app.accdb[Detalle de movimiento],Sucursal!$A19,Tabla_Registro_de_movimientos_app.accdb[Fecha],"&gt;"&amp;Sucursal!$B$4,Tabla_Registro_de_movimientos_app.accdb[Fecha],"&lt;="&amp;Sucursal!$C$4)</f>
        <v>0</v>
      </c>
      <c r="I19" s="194" t="e">
        <f t="shared" si="24"/>
        <v>#DIV/0!</v>
      </c>
      <c r="J19">
        <f>SUMIFS(Tabla_Registro_de_movimientos_app.accdb[Importe_Costo],Tabla_Registro_de_movimientos_app.accdb[Sucursal],Sucursal!J$5,Tabla_Registro_de_movimientos_app.accdb[Detalle de movimiento],Sucursal!$A19,Tabla_Registro_de_movimientos_app.accdb[Fecha],"&gt;"&amp;Sucursal!$B$4,Tabla_Registro_de_movimientos_app.accdb[Fecha],"&lt;="&amp;Sucursal!$C$4)</f>
        <v>0</v>
      </c>
      <c r="K19" s="194" t="e">
        <f t="shared" si="25"/>
        <v>#DIV/0!</v>
      </c>
      <c r="L19" s="115">
        <f>SUMIFS(Tabla_Registro_de_movimientos_app.accdb[Importe_Costo],Tabla_Registro_de_movimientos_app.accdb[Sucursal],Sucursal!L$5,Tabla_Registro_de_movimientos_app.accdb[Detalle de movimiento],Sucursal!$A19,Tabla_Registro_de_movimientos_app.accdb[Fecha],"&gt;"&amp;Sucursal!$B$4,Tabla_Registro_de_movimientos_app.accdb[Fecha],"&lt;="&amp;Sucursal!$C$4)</f>
        <v>0</v>
      </c>
      <c r="M19" s="194" t="e">
        <f t="shared" si="26"/>
        <v>#DIV/0!</v>
      </c>
      <c r="N19">
        <f>SUMIFS(Tabla_Registro_de_movimientos_app.accdb[Importe_Costo],Tabla_Registro_de_movimientos_app.accdb[Sucursal],Sucursal!N$5,Tabla_Registro_de_movimientos_app.accdb[Detalle de movimiento],Sucursal!$A19,Tabla_Registro_de_movimientos_app.accdb[Fecha],"&gt;"&amp;Sucursal!$B$4,Tabla_Registro_de_movimientos_app.accdb[Fecha],"&lt;="&amp;Sucursal!$C$4)</f>
        <v>0</v>
      </c>
      <c r="O19" s="194" t="e">
        <f t="shared" si="27"/>
        <v>#DIV/0!</v>
      </c>
      <c r="P19">
        <f>SUMIFS(Tabla_Registro_de_movimientos_app.accdb[Importe_Costo],Tabla_Registro_de_movimientos_app.accdb[Sucursal],Sucursal!P$5,Tabla_Registro_de_movimientos_app.accdb[Detalle de movimiento],Sucursal!$A19,Tabla_Registro_de_movimientos_app.accdb[Fecha],"&gt;"&amp;Sucursal!$B$4,Tabla_Registro_de_movimientos_app.accdb[Fecha],"&lt;="&amp;Sucursal!$C$4)</f>
        <v>0</v>
      </c>
      <c r="Q19" s="194" t="e">
        <f t="shared" si="28"/>
        <v>#DIV/0!</v>
      </c>
      <c r="R19">
        <f>SUMIFS(Tabla_Registro_de_movimientos_app.accdb[Importe_Costo],Tabla_Registro_de_movimientos_app.accdb[Sucursal],Sucursal!R$5,Tabla_Registro_de_movimientos_app.accdb[Detalle de movimiento],Sucursal!$A19,Tabla_Registro_de_movimientos_app.accdb[Fecha],"&gt;"&amp;Sucursal!$B$4,Tabla_Registro_de_movimientos_app.accdb[Fecha],"&lt;="&amp;Sucursal!$C$4)</f>
        <v>0</v>
      </c>
      <c r="S19" s="194" t="e">
        <f t="shared" si="29"/>
        <v>#DIV/0!</v>
      </c>
      <c r="T19">
        <f>SUMIFS(Tabla_Registro_de_movimientos_app.accdb[Importe_Costo],Tabla_Registro_de_movimientos_app.accdb[Sucursal],Sucursal!T$5,Tabla_Registro_de_movimientos_app.accdb[Detalle de movimiento],Sucursal!$A19,Tabla_Registro_de_movimientos_app.accdb[Fecha],"&gt;"&amp;Sucursal!$B$4,Tabla_Registro_de_movimientos_app.accdb[Fecha],"&lt;="&amp;Sucursal!$C$4)</f>
        <v>0</v>
      </c>
      <c r="U19" s="194" t="e">
        <f t="shared" si="30"/>
        <v>#DIV/0!</v>
      </c>
      <c r="V19">
        <f>SUMIFS(Tabla_Registro_de_movimientos_app.accdb[Importe_Costo],Tabla_Registro_de_movimientos_app.accdb[Sucursal],Sucursal!V$5,Tabla_Registro_de_movimientos_app.accdb[Detalle de movimiento],Sucursal!$A19,Tabla_Registro_de_movimientos_app.accdb[Fecha],"&gt;"&amp;Sucursal!$B$4,Tabla_Registro_de_movimientos_app.accdb[Fecha],"&lt;="&amp;Sucursal!$C$4)</f>
        <v>0</v>
      </c>
      <c r="W19" s="194" t="e">
        <f t="shared" si="31"/>
        <v>#DIV/0!</v>
      </c>
      <c r="X19">
        <f>SUMIFS(Tabla_Registro_de_movimientos_app.accdb[Importe_Costo],Tabla_Registro_de_movimientos_app.accdb[Sucursal],Sucursal!X$5,Tabla_Registro_de_movimientos_app.accdb[Detalle de movimiento],Sucursal!$A19,Tabla_Registro_de_movimientos_app.accdb[Fecha],"&gt;"&amp;Sucursal!$B$4,Tabla_Registro_de_movimientos_app.accdb[Fecha],"&lt;="&amp;Sucursal!$C$4)</f>
        <v>0</v>
      </c>
      <c r="Y19" s="194" t="e">
        <f t="shared" si="32"/>
        <v>#DIV/0!</v>
      </c>
      <c r="Z19">
        <f>SUMIFS(Tabla_Registro_de_movimientos_app.accdb[Importe_Costo],Tabla_Registro_de_movimientos_app.accdb[Sucursal],Sucursal!Z$5,Tabla_Registro_de_movimientos_app.accdb[Detalle de movimiento],Sucursal!$A19,Tabla_Registro_de_movimientos_app.accdb[Fecha],"&gt;"&amp;Sucursal!$B$4,Tabla_Registro_de_movimientos_app.accdb[Fecha],"&lt;="&amp;Sucursal!$C$4)</f>
        <v>0</v>
      </c>
      <c r="AA19" s="194" t="e">
        <f t="shared" si="33"/>
        <v>#DIV/0!</v>
      </c>
      <c r="AB19">
        <f>SUMIFS(Tabla_Registro_de_movimientos_app.accdb[Importe_Costo],Tabla_Registro_de_movimientos_app.accdb[Sucursal],Sucursal!AB$5,Tabla_Registro_de_movimientos_app.accdb[Detalle de movimiento],Sucursal!$A19,Tabla_Registro_de_movimientos_app.accdb[Fecha],"&gt;"&amp;Sucursal!$B$4,Tabla_Registro_de_movimientos_app.accdb[Fecha],"&lt;="&amp;Sucursal!$C$4)</f>
        <v>0</v>
      </c>
      <c r="AC19" s="194" t="e">
        <f t="shared" si="34"/>
        <v>#DIV/0!</v>
      </c>
      <c r="AD19">
        <f>SUMIFS(Tabla_Registro_de_movimientos_app.accdb[Importe_Costo],Tabla_Registro_de_movimientos_app.accdb[Sucursal],Sucursal!AD$5,Tabla_Registro_de_movimientos_app.accdb[Detalle de movimiento],Sucursal!$A19,Tabla_Registro_de_movimientos_app.accdb[Fecha],"&gt;"&amp;Sucursal!$B$4,Tabla_Registro_de_movimientos_app.accdb[Fecha],"&lt;="&amp;Sucursal!$C$4)</f>
        <v>0</v>
      </c>
      <c r="AE19" s="194" t="e">
        <f t="shared" si="35"/>
        <v>#DIV/0!</v>
      </c>
      <c r="AF19">
        <f>SUMIFS(Tabla_Registro_de_movimientos_app.accdb[Importe_Costo],Tabla_Registro_de_movimientos_app.accdb[Sucursal],Sucursal!AF$5,Tabla_Registro_de_movimientos_app.accdb[Detalle de movimiento],Sucursal!$A19,Tabla_Registro_de_movimientos_app.accdb[Fecha],"&gt;"&amp;Sucursal!$B$4,Tabla_Registro_de_movimientos_app.accdb[Fecha],"&lt;="&amp;Sucursal!$C$4)</f>
        <v>0</v>
      </c>
      <c r="AG19" s="194" t="e">
        <f t="shared" si="36"/>
        <v>#DIV/0!</v>
      </c>
      <c r="AH19">
        <f>SUMIFS(Tabla_Registro_de_movimientos_app.accdb[Importe_Costo],Tabla_Registro_de_movimientos_app.accdb[Sucursal],Sucursal!AH$5,Tabla_Registro_de_movimientos_app.accdb[Detalle de movimiento],Sucursal!$A19,Tabla_Registro_de_movimientos_app.accdb[Fecha],"&gt;"&amp;Sucursal!$B$4,Tabla_Registro_de_movimientos_app.accdb[Fecha],"&lt;="&amp;Sucursal!$C$4)</f>
        <v>0</v>
      </c>
      <c r="AI19" s="194" t="e">
        <f t="shared" si="37"/>
        <v>#DIV/0!</v>
      </c>
      <c r="AJ19">
        <f>SUMIFS(Tabla_Registro_de_movimientos_app.accdb[Importe_Costo],Tabla_Registro_de_movimientos_app.accdb[Sucursal],Sucursal!AJ$5,Tabla_Registro_de_movimientos_app.accdb[Detalle de movimiento],Sucursal!$A19,Tabla_Registro_de_movimientos_app.accdb[Fecha],"&gt;"&amp;Sucursal!$B$4,Tabla_Registro_de_movimientos_app.accdb[Fecha],"&lt;="&amp;Sucursal!$C$4)</f>
        <v>0</v>
      </c>
      <c r="AK19" s="194" t="e">
        <f t="shared" si="38"/>
        <v>#DIV/0!</v>
      </c>
      <c r="AM19" s="188">
        <f t="shared" si="20"/>
        <v>0</v>
      </c>
      <c r="AN19" s="189" t="e">
        <f t="shared" si="21"/>
        <v>#DIV/0!</v>
      </c>
    </row>
    <row r="20" spans="1:40" x14ac:dyDescent="0.25">
      <c r="A20" t="s">
        <v>55</v>
      </c>
      <c r="B20">
        <f>SUMIFS(Tabla_Registro_de_movimientos_app.accdb[Importe_Costo],Tabla_Registro_de_movimientos_app.accdb[Sucursal],Sucursal!$B$5,Tabla_Registro_de_movimientos_app.accdb[Detalle de movimiento],Sucursal!A20,Tabla_Registro_de_movimientos_app.accdb[Fecha],"&gt;"&amp;Sucursal!$B$4,Tabla_Registro_de_movimientos_app.accdb[Fecha],"&lt;="&amp;Sucursal!$C$4)</f>
        <v>0</v>
      </c>
      <c r="C20" s="194" t="e">
        <f t="shared" si="19"/>
        <v>#DIV/0!</v>
      </c>
      <c r="D20">
        <f>SUMIFS(Tabla_Registro_de_movimientos_app.accdb[Importe_Costo],Tabla_Registro_de_movimientos_app.accdb[Sucursal],Sucursal!D$5,Tabla_Registro_de_movimientos_app.accdb[Detalle de movimiento],Sucursal!$A20,Tabla_Registro_de_movimientos_app.accdb[Fecha],"&gt;"&amp;Sucursal!$B$4,Tabla_Registro_de_movimientos_app.accdb[Fecha],"&lt;="&amp;Sucursal!$C$4)</f>
        <v>0</v>
      </c>
      <c r="E20" s="194" t="e">
        <f t="shared" si="22"/>
        <v>#DIV/0!</v>
      </c>
      <c r="F20">
        <f>SUMIFS(Tabla_Registro_de_movimientos_app.accdb[Importe_Costo],Tabla_Registro_de_movimientos_app.accdb[Sucursal],Sucursal!F$5,Tabla_Registro_de_movimientos_app.accdb[Detalle de movimiento],Sucursal!$A20,Tabla_Registro_de_movimientos_app.accdb[Fecha],"&gt;"&amp;Sucursal!$B$4,Tabla_Registro_de_movimientos_app.accdb[Fecha],"&lt;="&amp;Sucursal!$C$4)</f>
        <v>0</v>
      </c>
      <c r="G20" s="194" t="e">
        <f t="shared" ref="G20" si="40">F20/F$24</f>
        <v>#DIV/0!</v>
      </c>
      <c r="H20">
        <f>SUMIFS(Tabla_Registro_de_movimientos_app.accdb[Importe_Costo],Tabla_Registro_de_movimientos_app.accdb[Sucursal],Sucursal!H$5,Tabla_Registro_de_movimientos_app.accdb[Detalle de movimiento],Sucursal!$A20,Tabla_Registro_de_movimientos_app.accdb[Fecha],"&gt;"&amp;Sucursal!$B$4,Tabla_Registro_de_movimientos_app.accdb[Fecha],"&lt;="&amp;Sucursal!$C$4)</f>
        <v>0</v>
      </c>
      <c r="I20" s="194" t="e">
        <f t="shared" si="24"/>
        <v>#DIV/0!</v>
      </c>
      <c r="J20">
        <f>SUMIFS(Tabla_Registro_de_movimientos_app.accdb[Importe_Costo],Tabla_Registro_de_movimientos_app.accdb[Sucursal],Sucursal!J$5,Tabla_Registro_de_movimientos_app.accdb[Detalle de movimiento],Sucursal!$A20,Tabla_Registro_de_movimientos_app.accdb[Fecha],"&gt;"&amp;Sucursal!$B$4,Tabla_Registro_de_movimientos_app.accdb[Fecha],"&lt;="&amp;Sucursal!$C$4)</f>
        <v>0</v>
      </c>
      <c r="K20" s="194" t="e">
        <f t="shared" si="25"/>
        <v>#DIV/0!</v>
      </c>
      <c r="L20">
        <f>SUMIFS(Tabla_Registro_de_movimientos_app.accdb[Importe_Costo],Tabla_Registro_de_movimientos_app.accdb[Sucursal],Sucursal!L$5,Tabla_Registro_de_movimientos_app.accdb[Detalle de movimiento],Sucursal!$A20,Tabla_Registro_de_movimientos_app.accdb[Fecha],"&gt;"&amp;Sucursal!$B$4,Tabla_Registro_de_movimientos_app.accdb[Fecha],"&lt;="&amp;Sucursal!$C$4)</f>
        <v>0</v>
      </c>
      <c r="M20" s="194" t="e">
        <f t="shared" si="26"/>
        <v>#DIV/0!</v>
      </c>
      <c r="N20">
        <f>SUMIFS(Tabla_Registro_de_movimientos_app.accdb[Importe_Costo],Tabla_Registro_de_movimientos_app.accdb[Sucursal],Sucursal!N$5,Tabla_Registro_de_movimientos_app.accdb[Detalle de movimiento],Sucursal!$A20,Tabla_Registro_de_movimientos_app.accdb[Fecha],"&gt;"&amp;Sucursal!$B$4,Tabla_Registro_de_movimientos_app.accdb[Fecha],"&lt;="&amp;Sucursal!$C$4)</f>
        <v>0</v>
      </c>
      <c r="O20" s="194" t="e">
        <f t="shared" si="27"/>
        <v>#DIV/0!</v>
      </c>
      <c r="P20">
        <f>SUMIFS(Tabla_Registro_de_movimientos_app.accdb[Importe_Costo],Tabla_Registro_de_movimientos_app.accdb[Sucursal],Sucursal!P$5,Tabla_Registro_de_movimientos_app.accdb[Detalle de movimiento],Sucursal!$A20,Tabla_Registro_de_movimientos_app.accdb[Fecha],"&gt;"&amp;Sucursal!$B$4,Tabla_Registro_de_movimientos_app.accdb[Fecha],"&lt;="&amp;Sucursal!$C$4)</f>
        <v>0</v>
      </c>
      <c r="Q20" s="194" t="e">
        <f t="shared" si="28"/>
        <v>#DIV/0!</v>
      </c>
      <c r="R20">
        <f>SUMIFS(Tabla_Registro_de_movimientos_app.accdb[Importe_Costo],Tabla_Registro_de_movimientos_app.accdb[Sucursal],Sucursal!R$5,Tabla_Registro_de_movimientos_app.accdb[Detalle de movimiento],Sucursal!$A20,Tabla_Registro_de_movimientos_app.accdb[Fecha],"&gt;"&amp;Sucursal!$B$4,Tabla_Registro_de_movimientos_app.accdb[Fecha],"&lt;="&amp;Sucursal!$C$4)</f>
        <v>0</v>
      </c>
      <c r="S20" s="194" t="e">
        <f t="shared" si="29"/>
        <v>#DIV/0!</v>
      </c>
      <c r="T20">
        <f>SUMIFS(Tabla_Registro_de_movimientos_app.accdb[Importe_Costo],Tabla_Registro_de_movimientos_app.accdb[Sucursal],Sucursal!T$5,Tabla_Registro_de_movimientos_app.accdb[Detalle de movimiento],Sucursal!$A20,Tabla_Registro_de_movimientos_app.accdb[Fecha],"&gt;"&amp;Sucursal!$B$4,Tabla_Registro_de_movimientos_app.accdb[Fecha],"&lt;="&amp;Sucursal!$C$4)</f>
        <v>0</v>
      </c>
      <c r="U20" s="194" t="e">
        <f t="shared" si="30"/>
        <v>#DIV/0!</v>
      </c>
      <c r="V20">
        <f>SUMIFS(Tabla_Registro_de_movimientos_app.accdb[Importe_Costo],Tabla_Registro_de_movimientos_app.accdb[Sucursal],Sucursal!V$5,Tabla_Registro_de_movimientos_app.accdb[Detalle de movimiento],Sucursal!$A20,Tabla_Registro_de_movimientos_app.accdb[Fecha],"&gt;"&amp;Sucursal!$B$4,Tabla_Registro_de_movimientos_app.accdb[Fecha],"&lt;="&amp;Sucursal!$C$4)</f>
        <v>0</v>
      </c>
      <c r="W20" s="194" t="e">
        <f t="shared" si="31"/>
        <v>#DIV/0!</v>
      </c>
      <c r="X20">
        <f>SUMIFS(Tabla_Registro_de_movimientos_app.accdb[Importe_Costo],Tabla_Registro_de_movimientos_app.accdb[Sucursal],Sucursal!X$5,Tabla_Registro_de_movimientos_app.accdb[Detalle de movimiento],Sucursal!$A20,Tabla_Registro_de_movimientos_app.accdb[Fecha],"&gt;"&amp;Sucursal!$B$4,Tabla_Registro_de_movimientos_app.accdb[Fecha],"&lt;="&amp;Sucursal!$C$4)</f>
        <v>0</v>
      </c>
      <c r="Y20" s="194" t="e">
        <f t="shared" si="32"/>
        <v>#DIV/0!</v>
      </c>
      <c r="Z20">
        <f>SUMIFS(Tabla_Registro_de_movimientos_app.accdb[Importe_Costo],Tabla_Registro_de_movimientos_app.accdb[Sucursal],Sucursal!Z$5,Tabla_Registro_de_movimientos_app.accdb[Detalle de movimiento],Sucursal!$A20,Tabla_Registro_de_movimientos_app.accdb[Fecha],"&gt;"&amp;Sucursal!$B$4,Tabla_Registro_de_movimientos_app.accdb[Fecha],"&lt;="&amp;Sucursal!$C$4)</f>
        <v>0</v>
      </c>
      <c r="AA20" s="194" t="e">
        <f t="shared" si="33"/>
        <v>#DIV/0!</v>
      </c>
      <c r="AB20">
        <f>SUMIFS(Tabla_Registro_de_movimientos_app.accdb[Importe_Costo],Tabla_Registro_de_movimientos_app.accdb[Sucursal],Sucursal!AB$5,Tabla_Registro_de_movimientos_app.accdb[Detalle de movimiento],Sucursal!$A20,Tabla_Registro_de_movimientos_app.accdb[Fecha],"&gt;"&amp;Sucursal!$B$4,Tabla_Registro_de_movimientos_app.accdb[Fecha],"&lt;="&amp;Sucursal!$C$4)</f>
        <v>0</v>
      </c>
      <c r="AC20" s="194" t="e">
        <f t="shared" si="34"/>
        <v>#DIV/0!</v>
      </c>
      <c r="AD20">
        <f>SUMIFS(Tabla_Registro_de_movimientos_app.accdb[Importe_Costo],Tabla_Registro_de_movimientos_app.accdb[Sucursal],Sucursal!AD$5,Tabla_Registro_de_movimientos_app.accdb[Detalle de movimiento],Sucursal!$A20,Tabla_Registro_de_movimientos_app.accdb[Fecha],"&gt;"&amp;Sucursal!$B$4,Tabla_Registro_de_movimientos_app.accdb[Fecha],"&lt;="&amp;Sucursal!$C$4)</f>
        <v>0</v>
      </c>
      <c r="AE20" s="194" t="e">
        <f t="shared" si="35"/>
        <v>#DIV/0!</v>
      </c>
      <c r="AF20">
        <f>SUMIFS(Tabla_Registro_de_movimientos_app.accdb[Importe_Costo],Tabla_Registro_de_movimientos_app.accdb[Sucursal],Sucursal!AF$5,Tabla_Registro_de_movimientos_app.accdb[Detalle de movimiento],Sucursal!$A20,Tabla_Registro_de_movimientos_app.accdb[Fecha],"&gt;"&amp;Sucursal!$B$4,Tabla_Registro_de_movimientos_app.accdb[Fecha],"&lt;="&amp;Sucursal!$C$4)</f>
        <v>0</v>
      </c>
      <c r="AG20" s="194" t="e">
        <f t="shared" si="36"/>
        <v>#DIV/0!</v>
      </c>
      <c r="AH20">
        <f>SUMIFS(Tabla_Registro_de_movimientos_app.accdb[Importe_Costo],Tabla_Registro_de_movimientos_app.accdb[Sucursal],Sucursal!AH$5,Tabla_Registro_de_movimientos_app.accdb[Detalle de movimiento],Sucursal!$A20,Tabla_Registro_de_movimientos_app.accdb[Fecha],"&gt;"&amp;Sucursal!$B$4,Tabla_Registro_de_movimientos_app.accdb[Fecha],"&lt;="&amp;Sucursal!$C$4)</f>
        <v>0</v>
      </c>
      <c r="AI20" s="194" t="e">
        <f t="shared" si="37"/>
        <v>#DIV/0!</v>
      </c>
      <c r="AJ20">
        <f>SUMIFS(Tabla_Registro_de_movimientos_app.accdb[Importe_Costo],Tabla_Registro_de_movimientos_app.accdb[Sucursal],Sucursal!AJ$5,Tabla_Registro_de_movimientos_app.accdb[Detalle de movimiento],Sucursal!$A20,Tabla_Registro_de_movimientos_app.accdb[Fecha],"&gt;"&amp;Sucursal!$B$4,Tabla_Registro_de_movimientos_app.accdb[Fecha],"&lt;="&amp;Sucursal!$C$4)</f>
        <v>0</v>
      </c>
      <c r="AK20" s="194" t="e">
        <f t="shared" si="38"/>
        <v>#DIV/0!</v>
      </c>
      <c r="AM20" s="188">
        <f t="shared" si="20"/>
        <v>0</v>
      </c>
      <c r="AN20" s="189" t="e">
        <f t="shared" si="21"/>
        <v>#DIV/0!</v>
      </c>
    </row>
    <row r="21" spans="1:40" x14ac:dyDescent="0.25">
      <c r="A21" t="s">
        <v>56</v>
      </c>
      <c r="B21">
        <f>SUMIFS(Tabla_Registro_de_movimientos_app.accdb[Importe_Costo],Tabla_Registro_de_movimientos_app.accdb[Sucursal],Sucursal!$B$5,Tabla_Registro_de_movimientos_app.accdb[Detalle de movimiento],Sucursal!A21,Tabla_Registro_de_movimientos_app.accdb[Fecha],"&gt;"&amp;Sucursal!$B$4,Tabla_Registro_de_movimientos_app.accdb[Fecha],"&lt;="&amp;Sucursal!$C$4)</f>
        <v>0</v>
      </c>
      <c r="C21" s="194" t="e">
        <f t="shared" si="19"/>
        <v>#DIV/0!</v>
      </c>
      <c r="D21">
        <f>SUMIFS(Tabla_Registro_de_movimientos_app.accdb[Importe_Costo],Tabla_Registro_de_movimientos_app.accdb[Sucursal],Sucursal!D$5,Tabla_Registro_de_movimientos_app.accdb[Detalle de movimiento],Sucursal!$A21,Tabla_Registro_de_movimientos_app.accdb[Fecha],"&gt;"&amp;Sucursal!$B$4,Tabla_Registro_de_movimientos_app.accdb[Fecha],"&lt;="&amp;Sucursal!$C$4)</f>
        <v>0</v>
      </c>
      <c r="E21" s="194" t="e">
        <f t="shared" si="22"/>
        <v>#DIV/0!</v>
      </c>
      <c r="F21">
        <f>SUMIFS(Tabla_Registro_de_movimientos_app.accdb[Importe_Costo],Tabla_Registro_de_movimientos_app.accdb[Sucursal],Sucursal!F$5,Tabla_Registro_de_movimientos_app.accdb[Detalle de movimiento],Sucursal!$A21,Tabla_Registro_de_movimientos_app.accdb[Fecha],"&gt;"&amp;Sucursal!$B$4,Tabla_Registro_de_movimientos_app.accdb[Fecha],"&lt;="&amp;Sucursal!$C$4)</f>
        <v>0</v>
      </c>
      <c r="G21" s="194" t="e">
        <f t="shared" ref="G21" si="41">F21/F$24</f>
        <v>#DIV/0!</v>
      </c>
      <c r="H21">
        <f>SUMIFS(Tabla_Registro_de_movimientos_app.accdb[Importe_Costo],Tabla_Registro_de_movimientos_app.accdb[Sucursal],Sucursal!H$5,Tabla_Registro_de_movimientos_app.accdb[Detalle de movimiento],Sucursal!$A21,Tabla_Registro_de_movimientos_app.accdb[Fecha],"&gt;"&amp;Sucursal!$B$4,Tabla_Registro_de_movimientos_app.accdb[Fecha],"&lt;="&amp;Sucursal!$C$4)</f>
        <v>0</v>
      </c>
      <c r="I21" s="194" t="e">
        <f t="shared" si="24"/>
        <v>#DIV/0!</v>
      </c>
      <c r="J21">
        <f>SUMIFS(Tabla_Registro_de_movimientos_app.accdb[Importe_Costo],Tabla_Registro_de_movimientos_app.accdb[Sucursal],Sucursal!J$5,Tabla_Registro_de_movimientos_app.accdb[Detalle de movimiento],Sucursal!$A21,Tabla_Registro_de_movimientos_app.accdb[Fecha],"&gt;"&amp;Sucursal!$B$4,Tabla_Registro_de_movimientos_app.accdb[Fecha],"&lt;="&amp;Sucursal!$C$4)</f>
        <v>0</v>
      </c>
      <c r="K21" s="194" t="e">
        <f t="shared" si="25"/>
        <v>#DIV/0!</v>
      </c>
      <c r="L21">
        <f>SUMIFS(Tabla_Registro_de_movimientos_app.accdb[Importe_Costo],Tabla_Registro_de_movimientos_app.accdb[Sucursal],Sucursal!L$5,Tabla_Registro_de_movimientos_app.accdb[Detalle de movimiento],Sucursal!$A21,Tabla_Registro_de_movimientos_app.accdb[Fecha],"&gt;"&amp;Sucursal!$B$4,Tabla_Registro_de_movimientos_app.accdb[Fecha],"&lt;="&amp;Sucursal!$C$4)</f>
        <v>0</v>
      </c>
      <c r="M21" s="194" t="e">
        <f t="shared" si="26"/>
        <v>#DIV/0!</v>
      </c>
      <c r="N21">
        <f>SUMIFS(Tabla_Registro_de_movimientos_app.accdb[Importe_Costo],Tabla_Registro_de_movimientos_app.accdb[Sucursal],Sucursal!N$5,Tabla_Registro_de_movimientos_app.accdb[Detalle de movimiento],Sucursal!$A21,Tabla_Registro_de_movimientos_app.accdb[Fecha],"&gt;"&amp;Sucursal!$B$4,Tabla_Registro_de_movimientos_app.accdb[Fecha],"&lt;="&amp;Sucursal!$C$4)</f>
        <v>0</v>
      </c>
      <c r="O21" s="194" t="e">
        <f t="shared" si="27"/>
        <v>#DIV/0!</v>
      </c>
      <c r="P21">
        <f>SUMIFS(Tabla_Registro_de_movimientos_app.accdb[Importe_Costo],Tabla_Registro_de_movimientos_app.accdb[Sucursal],Sucursal!P$5,Tabla_Registro_de_movimientos_app.accdb[Detalle de movimiento],Sucursal!$A21,Tabla_Registro_de_movimientos_app.accdb[Fecha],"&gt;"&amp;Sucursal!$B$4,Tabla_Registro_de_movimientos_app.accdb[Fecha],"&lt;="&amp;Sucursal!$C$4)</f>
        <v>0</v>
      </c>
      <c r="Q21" s="194" t="e">
        <f t="shared" si="28"/>
        <v>#DIV/0!</v>
      </c>
      <c r="R21">
        <f>SUMIFS(Tabla_Registro_de_movimientos_app.accdb[Importe_Costo],Tabla_Registro_de_movimientos_app.accdb[Sucursal],Sucursal!R$5,Tabla_Registro_de_movimientos_app.accdb[Detalle de movimiento],Sucursal!$A21,Tabla_Registro_de_movimientos_app.accdb[Fecha],"&gt;"&amp;Sucursal!$B$4,Tabla_Registro_de_movimientos_app.accdb[Fecha],"&lt;="&amp;Sucursal!$C$4)</f>
        <v>0</v>
      </c>
      <c r="S21" s="194" t="e">
        <f t="shared" si="29"/>
        <v>#DIV/0!</v>
      </c>
      <c r="T21">
        <f>SUMIFS(Tabla_Registro_de_movimientos_app.accdb[Importe_Costo],Tabla_Registro_de_movimientos_app.accdb[Sucursal],Sucursal!T$5,Tabla_Registro_de_movimientos_app.accdb[Detalle de movimiento],Sucursal!$A21,Tabla_Registro_de_movimientos_app.accdb[Fecha],"&gt;"&amp;Sucursal!$B$4,Tabla_Registro_de_movimientos_app.accdb[Fecha],"&lt;="&amp;Sucursal!$C$4)</f>
        <v>0</v>
      </c>
      <c r="U21" s="194" t="e">
        <f t="shared" si="30"/>
        <v>#DIV/0!</v>
      </c>
      <c r="V21">
        <f>SUMIFS(Tabla_Registro_de_movimientos_app.accdb[Importe_Costo],Tabla_Registro_de_movimientos_app.accdb[Sucursal],Sucursal!V$5,Tabla_Registro_de_movimientos_app.accdb[Detalle de movimiento],Sucursal!$A21,Tabla_Registro_de_movimientos_app.accdb[Fecha],"&gt;"&amp;Sucursal!$B$4,Tabla_Registro_de_movimientos_app.accdb[Fecha],"&lt;="&amp;Sucursal!$C$4)</f>
        <v>0</v>
      </c>
      <c r="W21" s="194" t="e">
        <f t="shared" si="31"/>
        <v>#DIV/0!</v>
      </c>
      <c r="X21">
        <f>SUMIFS(Tabla_Registro_de_movimientos_app.accdb[Importe_Costo],Tabla_Registro_de_movimientos_app.accdb[Sucursal],Sucursal!X$5,Tabla_Registro_de_movimientos_app.accdb[Detalle de movimiento],Sucursal!$A21,Tabla_Registro_de_movimientos_app.accdb[Fecha],"&gt;"&amp;Sucursal!$B$4,Tabla_Registro_de_movimientos_app.accdb[Fecha],"&lt;="&amp;Sucursal!$C$4)</f>
        <v>0</v>
      </c>
      <c r="Y21" s="194" t="e">
        <f t="shared" si="32"/>
        <v>#DIV/0!</v>
      </c>
      <c r="Z21">
        <f>SUMIFS(Tabla_Registro_de_movimientos_app.accdb[Importe_Costo],Tabla_Registro_de_movimientos_app.accdb[Sucursal],Sucursal!Z$5,Tabla_Registro_de_movimientos_app.accdb[Detalle de movimiento],Sucursal!$A21,Tabla_Registro_de_movimientos_app.accdb[Fecha],"&gt;"&amp;Sucursal!$B$4,Tabla_Registro_de_movimientos_app.accdb[Fecha],"&lt;="&amp;Sucursal!$C$4)</f>
        <v>0</v>
      </c>
      <c r="AA21" s="194" t="e">
        <f t="shared" si="33"/>
        <v>#DIV/0!</v>
      </c>
      <c r="AB21">
        <f>SUMIFS(Tabla_Registro_de_movimientos_app.accdb[Importe_Costo],Tabla_Registro_de_movimientos_app.accdb[Sucursal],Sucursal!AB$5,Tabla_Registro_de_movimientos_app.accdb[Detalle de movimiento],Sucursal!$A21,Tabla_Registro_de_movimientos_app.accdb[Fecha],"&gt;"&amp;Sucursal!$B$4,Tabla_Registro_de_movimientos_app.accdb[Fecha],"&lt;="&amp;Sucursal!$C$4)</f>
        <v>0</v>
      </c>
      <c r="AC21" s="194" t="e">
        <f t="shared" si="34"/>
        <v>#DIV/0!</v>
      </c>
      <c r="AD21">
        <f>SUMIFS(Tabla_Registro_de_movimientos_app.accdb[Importe_Costo],Tabla_Registro_de_movimientos_app.accdb[Sucursal],Sucursal!AD$5,Tabla_Registro_de_movimientos_app.accdb[Detalle de movimiento],Sucursal!$A21,Tabla_Registro_de_movimientos_app.accdb[Fecha],"&gt;"&amp;Sucursal!$B$4,Tabla_Registro_de_movimientos_app.accdb[Fecha],"&lt;="&amp;Sucursal!$C$4)</f>
        <v>0</v>
      </c>
      <c r="AE21" s="194" t="e">
        <f t="shared" si="35"/>
        <v>#DIV/0!</v>
      </c>
      <c r="AF21">
        <f>SUMIFS(Tabla_Registro_de_movimientos_app.accdb[Importe_Costo],Tabla_Registro_de_movimientos_app.accdb[Sucursal],Sucursal!AF$5,Tabla_Registro_de_movimientos_app.accdb[Detalle de movimiento],Sucursal!$A21,Tabla_Registro_de_movimientos_app.accdb[Fecha],"&gt;"&amp;Sucursal!$B$4,Tabla_Registro_de_movimientos_app.accdb[Fecha],"&lt;="&amp;Sucursal!$C$4)</f>
        <v>0</v>
      </c>
      <c r="AG21" s="194" t="e">
        <f t="shared" si="36"/>
        <v>#DIV/0!</v>
      </c>
      <c r="AH21">
        <f>SUMIFS(Tabla_Registro_de_movimientos_app.accdb[Importe_Costo],Tabla_Registro_de_movimientos_app.accdb[Sucursal],Sucursal!AH$5,Tabla_Registro_de_movimientos_app.accdb[Detalle de movimiento],Sucursal!$A21,Tabla_Registro_de_movimientos_app.accdb[Fecha],"&gt;"&amp;Sucursal!$B$4,Tabla_Registro_de_movimientos_app.accdb[Fecha],"&lt;="&amp;Sucursal!$C$4)</f>
        <v>0</v>
      </c>
      <c r="AI21" s="194" t="e">
        <f t="shared" si="37"/>
        <v>#DIV/0!</v>
      </c>
      <c r="AJ21">
        <f>SUMIFS(Tabla_Registro_de_movimientos_app.accdb[Importe_Costo],Tabla_Registro_de_movimientos_app.accdb[Sucursal],Sucursal!AJ$5,Tabla_Registro_de_movimientos_app.accdb[Detalle de movimiento],Sucursal!$A21,Tabla_Registro_de_movimientos_app.accdb[Fecha],"&gt;"&amp;Sucursal!$B$4,Tabla_Registro_de_movimientos_app.accdb[Fecha],"&lt;="&amp;Sucursal!$C$4)</f>
        <v>0</v>
      </c>
      <c r="AK21" s="194" t="e">
        <f t="shared" si="38"/>
        <v>#DIV/0!</v>
      </c>
      <c r="AM21" s="188">
        <f t="shared" si="20"/>
        <v>0</v>
      </c>
      <c r="AN21" s="189" t="e">
        <f t="shared" si="21"/>
        <v>#DIV/0!</v>
      </c>
    </row>
    <row r="22" spans="1:40" x14ac:dyDescent="0.25">
      <c r="A22" t="s">
        <v>25</v>
      </c>
      <c r="B22">
        <f>SUMIFS(Tabla_Registro_de_movimientos_app.accdb[Importe_Inventario_F],Tabla_Registro_de_movimientos_app.accdb[Sucursal],Sucursal!$B$5,Tabla_Registro_de_movimientos_app.accdb[Detalle de movimiento],Sucursal!A22,Tabla_Registro_de_movimientos_app.accdb[Fecha],"&gt;"&amp;Sucursal!$B$4,Tabla_Registro_de_movimientos_app.accdb[Fecha],"&lt;="&amp;Sucursal!$C$4)</f>
        <v>0</v>
      </c>
      <c r="C22" s="194" t="e">
        <f t="shared" si="19"/>
        <v>#DIV/0!</v>
      </c>
      <c r="D22">
        <f>SUMIFS(Tabla_Registro_de_movimientos_app.accdb[Importe_Inventario_F],Tabla_Registro_de_movimientos_app.accdb[Sucursal],Sucursal!D$5,Tabla_Registro_de_movimientos_app.accdb[Detalle de movimiento],Sucursal!$A22,Tabla_Registro_de_movimientos_app.accdb[Fecha],"&gt;"&amp;Sucursal!$B$4,Tabla_Registro_de_movimientos_app.accdb[Fecha],"&lt;="&amp;Sucursal!$C$4)</f>
        <v>0</v>
      </c>
      <c r="E22" s="194" t="e">
        <f t="shared" si="22"/>
        <v>#DIV/0!</v>
      </c>
      <c r="F22">
        <f>SUMIFS(Tabla_Registro_de_movimientos_app.accdb[Importe_Inventario_F],Tabla_Registro_de_movimientos_app.accdb[Sucursal],Sucursal!F$5,Tabla_Registro_de_movimientos_app.accdb[Detalle de movimiento],Sucursal!$A22,Tabla_Registro_de_movimientos_app.accdb[Fecha],"&gt;"&amp;Sucursal!$B$4,Tabla_Registro_de_movimientos_app.accdb[Fecha],"&lt;="&amp;Sucursal!$C$4)</f>
        <v>0</v>
      </c>
      <c r="G22" s="194" t="e">
        <f t="shared" ref="G22" si="42">F22/F$24</f>
        <v>#DIV/0!</v>
      </c>
      <c r="H22">
        <f>SUMIFS(Tabla_Registro_de_movimientos_app.accdb[Importe_Inventario_F],Tabla_Registro_de_movimientos_app.accdb[Sucursal],Sucursal!H$5,Tabla_Registro_de_movimientos_app.accdb[Detalle de movimiento],Sucursal!$A22,Tabla_Registro_de_movimientos_app.accdb[Fecha],"&gt;"&amp;Sucursal!$B$4,Tabla_Registro_de_movimientos_app.accdb[Fecha],"&lt;="&amp;Sucursal!$C$4)</f>
        <v>0</v>
      </c>
      <c r="I22" s="194" t="e">
        <f t="shared" si="24"/>
        <v>#DIV/0!</v>
      </c>
      <c r="J22">
        <f>SUMIFS(Tabla_Registro_de_movimientos_app.accdb[Importe_Inventario_F],Tabla_Registro_de_movimientos_app.accdb[Sucursal],Sucursal!J$5,Tabla_Registro_de_movimientos_app.accdb[Detalle de movimiento],Sucursal!$A22,Tabla_Registro_de_movimientos_app.accdb[Fecha],"&gt;"&amp;Sucursal!$B$4,Tabla_Registro_de_movimientos_app.accdb[Fecha],"&lt;="&amp;Sucursal!$C$4)</f>
        <v>0</v>
      </c>
      <c r="K22" s="194" t="e">
        <f t="shared" si="25"/>
        <v>#DIV/0!</v>
      </c>
      <c r="L22">
        <f>SUMIFS(Tabla_Registro_de_movimientos_app.accdb[Importe_Inventario_F],Tabla_Registro_de_movimientos_app.accdb[Sucursal],Sucursal!L$5,Tabla_Registro_de_movimientos_app.accdb[Detalle de movimiento],Sucursal!$A22,Tabla_Registro_de_movimientos_app.accdb[Fecha],"&gt;"&amp;Sucursal!$B$4,Tabla_Registro_de_movimientos_app.accdb[Fecha],"&lt;="&amp;Sucursal!$C$4)</f>
        <v>0</v>
      </c>
      <c r="M22" s="194" t="e">
        <f t="shared" si="26"/>
        <v>#DIV/0!</v>
      </c>
      <c r="N22">
        <f>SUMIFS(Tabla_Registro_de_movimientos_app.accdb[Importe_Inventario_F],Tabla_Registro_de_movimientos_app.accdb[Sucursal],Sucursal!N$5,Tabla_Registro_de_movimientos_app.accdb[Detalle de movimiento],Sucursal!$A22,Tabla_Registro_de_movimientos_app.accdb[Fecha],"&gt;"&amp;Sucursal!$B$4,Tabla_Registro_de_movimientos_app.accdb[Fecha],"&lt;="&amp;Sucursal!$C$4)</f>
        <v>0</v>
      </c>
      <c r="O22" s="194" t="e">
        <f t="shared" si="27"/>
        <v>#DIV/0!</v>
      </c>
      <c r="P22">
        <f>SUMIFS(Tabla_Registro_de_movimientos_app.accdb[Importe_Inventario_F],Tabla_Registro_de_movimientos_app.accdb[Sucursal],Sucursal!P$5,Tabla_Registro_de_movimientos_app.accdb[Detalle de movimiento],Sucursal!$A22,Tabla_Registro_de_movimientos_app.accdb[Fecha],"&gt;"&amp;Sucursal!$B$4,Tabla_Registro_de_movimientos_app.accdb[Fecha],"&lt;="&amp;Sucursal!$C$4)</f>
        <v>0</v>
      </c>
      <c r="Q22" s="194" t="e">
        <f t="shared" si="28"/>
        <v>#DIV/0!</v>
      </c>
      <c r="R22">
        <f>SUMIFS(Tabla_Registro_de_movimientos_app.accdb[Importe_Inventario_F],Tabla_Registro_de_movimientos_app.accdb[Sucursal],Sucursal!R$5,Tabla_Registro_de_movimientos_app.accdb[Detalle de movimiento],Sucursal!$A22,Tabla_Registro_de_movimientos_app.accdb[Fecha],"&gt;"&amp;Sucursal!$B$4,Tabla_Registro_de_movimientos_app.accdb[Fecha],"&lt;="&amp;Sucursal!$C$4)</f>
        <v>0</v>
      </c>
      <c r="S22" s="194" t="e">
        <f t="shared" si="29"/>
        <v>#DIV/0!</v>
      </c>
      <c r="T22">
        <f>SUMIFS(Tabla_Registro_de_movimientos_app.accdb[Importe_Inventario_F],Tabla_Registro_de_movimientos_app.accdb[Sucursal],Sucursal!T$5,Tabla_Registro_de_movimientos_app.accdb[Detalle de movimiento],Sucursal!$A22,Tabla_Registro_de_movimientos_app.accdb[Fecha],"&gt;"&amp;Sucursal!$B$4,Tabla_Registro_de_movimientos_app.accdb[Fecha],"&lt;="&amp;Sucursal!$C$4)</f>
        <v>0</v>
      </c>
      <c r="U22" s="194" t="e">
        <f t="shared" si="30"/>
        <v>#DIV/0!</v>
      </c>
      <c r="V22">
        <f>SUMIFS(Tabla_Registro_de_movimientos_app.accdb[Importe_Inventario_F],Tabla_Registro_de_movimientos_app.accdb[Sucursal],Sucursal!V$5,Tabla_Registro_de_movimientos_app.accdb[Detalle de movimiento],Sucursal!$A22,Tabla_Registro_de_movimientos_app.accdb[Fecha],"&gt;"&amp;Sucursal!$B$4,Tabla_Registro_de_movimientos_app.accdb[Fecha],"&lt;="&amp;Sucursal!$C$4)</f>
        <v>0</v>
      </c>
      <c r="W22" s="194" t="e">
        <f t="shared" si="31"/>
        <v>#DIV/0!</v>
      </c>
      <c r="X22">
        <f>SUMIFS(Tabla_Registro_de_movimientos_app.accdb[Importe_Inventario_F],Tabla_Registro_de_movimientos_app.accdb[Sucursal],Sucursal!X$5,Tabla_Registro_de_movimientos_app.accdb[Detalle de movimiento],Sucursal!$A22,Tabla_Registro_de_movimientos_app.accdb[Fecha],"&gt;"&amp;Sucursal!$B$4,Tabla_Registro_de_movimientos_app.accdb[Fecha],"&lt;="&amp;Sucursal!$C$4)</f>
        <v>0</v>
      </c>
      <c r="Y22" s="194" t="e">
        <f t="shared" si="32"/>
        <v>#DIV/0!</v>
      </c>
      <c r="Z22">
        <f>SUMIFS(Tabla_Registro_de_movimientos_app.accdb[Importe_Inventario_F],Tabla_Registro_de_movimientos_app.accdb[Sucursal],Sucursal!Z$5,Tabla_Registro_de_movimientos_app.accdb[Detalle de movimiento],Sucursal!$A22,Tabla_Registro_de_movimientos_app.accdb[Fecha],"&gt;"&amp;Sucursal!$B$4,Tabla_Registro_de_movimientos_app.accdb[Fecha],"&lt;="&amp;Sucursal!$C$4)</f>
        <v>0</v>
      </c>
      <c r="AA22" s="194" t="e">
        <f t="shared" si="33"/>
        <v>#DIV/0!</v>
      </c>
      <c r="AB22">
        <f>SUMIFS(Tabla_Registro_de_movimientos_app.accdb[Importe_Inventario_F],Tabla_Registro_de_movimientos_app.accdb[Sucursal],Sucursal!AB$5,Tabla_Registro_de_movimientos_app.accdb[Detalle de movimiento],Sucursal!$A22,Tabla_Registro_de_movimientos_app.accdb[Fecha],"&gt;"&amp;Sucursal!$B$4,Tabla_Registro_de_movimientos_app.accdb[Fecha],"&lt;="&amp;Sucursal!$C$4)</f>
        <v>0</v>
      </c>
      <c r="AC22" s="194" t="e">
        <f t="shared" si="34"/>
        <v>#DIV/0!</v>
      </c>
      <c r="AD22">
        <f>SUMIFS(Tabla_Registro_de_movimientos_app.accdb[Importe_Inventario_F],Tabla_Registro_de_movimientos_app.accdb[Sucursal],Sucursal!AD$5,Tabla_Registro_de_movimientos_app.accdb[Detalle de movimiento],Sucursal!$A22,Tabla_Registro_de_movimientos_app.accdb[Fecha],"&gt;"&amp;Sucursal!$B$4,Tabla_Registro_de_movimientos_app.accdb[Fecha],"&lt;="&amp;Sucursal!$C$4)</f>
        <v>0</v>
      </c>
      <c r="AE22" s="194" t="e">
        <f t="shared" si="35"/>
        <v>#DIV/0!</v>
      </c>
      <c r="AF22">
        <f>SUMIFS(Tabla_Registro_de_movimientos_app.accdb[Importe_Inventario_F],Tabla_Registro_de_movimientos_app.accdb[Sucursal],Sucursal!AF$5,Tabla_Registro_de_movimientos_app.accdb[Detalle de movimiento],Sucursal!$A22,Tabla_Registro_de_movimientos_app.accdb[Fecha],"&gt;"&amp;Sucursal!$B$4,Tabla_Registro_de_movimientos_app.accdb[Fecha],"&lt;="&amp;Sucursal!$C$4)</f>
        <v>0</v>
      </c>
      <c r="AG22" s="194" t="e">
        <f t="shared" si="36"/>
        <v>#DIV/0!</v>
      </c>
      <c r="AH22">
        <f>SUMIFS(Tabla_Registro_de_movimientos_app.accdb[Importe_Inventario_F],Tabla_Registro_de_movimientos_app.accdb[Sucursal],Sucursal!AH$5,Tabla_Registro_de_movimientos_app.accdb[Detalle de movimiento],Sucursal!$A22,Tabla_Registro_de_movimientos_app.accdb[Fecha],"&gt;"&amp;Sucursal!$B$4,Tabla_Registro_de_movimientos_app.accdb[Fecha],"&lt;="&amp;Sucursal!$C$4)</f>
        <v>0</v>
      </c>
      <c r="AI22" s="194" t="e">
        <f t="shared" si="37"/>
        <v>#DIV/0!</v>
      </c>
      <c r="AJ22">
        <f>SUMIFS(Tabla_Registro_de_movimientos_app.accdb[Importe_Inventario_F],Tabla_Registro_de_movimientos_app.accdb[Sucursal],Sucursal!AJ$5,Tabla_Registro_de_movimientos_app.accdb[Detalle de movimiento],Sucursal!$A22,Tabla_Registro_de_movimientos_app.accdb[Fecha],"&gt;"&amp;Sucursal!$B$4,Tabla_Registro_de_movimientos_app.accdb[Fecha],"&lt;="&amp;Sucursal!$C$4)</f>
        <v>0</v>
      </c>
      <c r="AK22" s="194" t="e">
        <f t="shared" si="38"/>
        <v>#DIV/0!</v>
      </c>
      <c r="AM22" s="188">
        <f t="shared" si="20"/>
        <v>0</v>
      </c>
      <c r="AN22" s="189" t="e">
        <f t="shared" si="21"/>
        <v>#DIV/0!</v>
      </c>
    </row>
    <row r="23" spans="1:40" x14ac:dyDescent="0.25">
      <c r="A23" t="s">
        <v>57</v>
      </c>
      <c r="B23">
        <f>SUMIFS(Tabla_Registro_de_movimientos_app.accdb[Importe_Costo],Tabla_Registro_de_movimientos_app.accdb[Sucursal],Sucursal!$B$5,Tabla_Registro_de_movimientos_app.accdb[Detalle de movimiento],Sucursal!A23,Tabla_Registro_de_movimientos_app.accdb[Fecha],"&gt;"&amp;Sucursal!$B$4,Tabla_Registro_de_movimientos_app.accdb[Fecha],"&lt;="&amp;Sucursal!$C$4)</f>
        <v>0</v>
      </c>
      <c r="C23" s="194" t="e">
        <f t="shared" si="19"/>
        <v>#DIV/0!</v>
      </c>
      <c r="D23">
        <f>SUMIFS(Tabla_Registro_de_movimientos_app.accdb[Importe_Costo],Tabla_Registro_de_movimientos_app.accdb[Sucursal],Sucursal!D$5,Tabla_Registro_de_movimientos_app.accdb[Detalle de movimiento],Sucursal!$A23,Tabla_Registro_de_movimientos_app.accdb[Fecha],"&gt;"&amp;Sucursal!$B$4,Tabla_Registro_de_movimientos_app.accdb[Fecha],"&lt;="&amp;Sucursal!$C$4)</f>
        <v>0</v>
      </c>
      <c r="E23" s="194" t="e">
        <f t="shared" si="22"/>
        <v>#DIV/0!</v>
      </c>
      <c r="F23">
        <f>SUMIFS(Tabla_Registro_de_movimientos_app.accdb[Importe_Costo],Tabla_Registro_de_movimientos_app.accdb[Sucursal],Sucursal!F$5,Tabla_Registro_de_movimientos_app.accdb[Detalle de movimiento],Sucursal!$A23,Tabla_Registro_de_movimientos_app.accdb[Fecha],"&gt;"&amp;Sucursal!$B$4,Tabla_Registro_de_movimientos_app.accdb[Fecha],"&lt;="&amp;Sucursal!$C$4)</f>
        <v>0</v>
      </c>
      <c r="G23" s="194" t="e">
        <f t="shared" ref="G23" si="43">F23/F$24</f>
        <v>#DIV/0!</v>
      </c>
      <c r="H23">
        <f>SUMIFS(Tabla_Registro_de_movimientos_app.accdb[Importe_Costo],Tabla_Registro_de_movimientos_app.accdb[Sucursal],Sucursal!H$5,Tabla_Registro_de_movimientos_app.accdb[Detalle de movimiento],Sucursal!$A23,Tabla_Registro_de_movimientos_app.accdb[Fecha],"&gt;"&amp;Sucursal!$B$4,Tabla_Registro_de_movimientos_app.accdb[Fecha],"&lt;="&amp;Sucursal!$C$4)</f>
        <v>0</v>
      </c>
      <c r="I23" s="194" t="e">
        <f t="shared" si="24"/>
        <v>#DIV/0!</v>
      </c>
      <c r="J23">
        <f>SUMIFS(Tabla_Registro_de_movimientos_app.accdb[Importe_Costo],Tabla_Registro_de_movimientos_app.accdb[Sucursal],Sucursal!J$5,Tabla_Registro_de_movimientos_app.accdb[Detalle de movimiento],Sucursal!$A23,Tabla_Registro_de_movimientos_app.accdb[Fecha],"&gt;"&amp;Sucursal!$B$4,Tabla_Registro_de_movimientos_app.accdb[Fecha],"&lt;="&amp;Sucursal!$C$4)</f>
        <v>0</v>
      </c>
      <c r="K23" s="194" t="e">
        <f t="shared" si="25"/>
        <v>#DIV/0!</v>
      </c>
      <c r="L23">
        <f>SUMIFS(Tabla_Registro_de_movimientos_app.accdb[Importe_Costo],Tabla_Registro_de_movimientos_app.accdb[Sucursal],Sucursal!L$5,Tabla_Registro_de_movimientos_app.accdb[Detalle de movimiento],Sucursal!$A23,Tabla_Registro_de_movimientos_app.accdb[Fecha],"&gt;"&amp;Sucursal!$B$4,Tabla_Registro_de_movimientos_app.accdb[Fecha],"&lt;="&amp;Sucursal!$C$4)</f>
        <v>0</v>
      </c>
      <c r="M23" s="194" t="e">
        <f t="shared" si="26"/>
        <v>#DIV/0!</v>
      </c>
      <c r="N23">
        <f>SUMIFS(Tabla_Registro_de_movimientos_app.accdb[Importe_Costo],Tabla_Registro_de_movimientos_app.accdb[Sucursal],Sucursal!N$5,Tabla_Registro_de_movimientos_app.accdb[Detalle de movimiento],Sucursal!$A23,Tabla_Registro_de_movimientos_app.accdb[Fecha],"&gt;"&amp;Sucursal!$B$4,Tabla_Registro_de_movimientos_app.accdb[Fecha],"&lt;="&amp;Sucursal!$C$4)</f>
        <v>0</v>
      </c>
      <c r="O23" s="194" t="e">
        <f t="shared" si="27"/>
        <v>#DIV/0!</v>
      </c>
      <c r="P23">
        <f>SUMIFS(Tabla_Registro_de_movimientos_app.accdb[Importe_Costo],Tabla_Registro_de_movimientos_app.accdb[Sucursal],Sucursal!P$5,Tabla_Registro_de_movimientos_app.accdb[Detalle de movimiento],Sucursal!$A23,Tabla_Registro_de_movimientos_app.accdb[Fecha],"&gt;"&amp;Sucursal!$B$4,Tabla_Registro_de_movimientos_app.accdb[Fecha],"&lt;="&amp;Sucursal!$C$4)</f>
        <v>0</v>
      </c>
      <c r="Q23" s="194" t="e">
        <f t="shared" si="28"/>
        <v>#DIV/0!</v>
      </c>
      <c r="R23">
        <f>SUMIFS(Tabla_Registro_de_movimientos_app.accdb[Importe_Costo],Tabla_Registro_de_movimientos_app.accdb[Sucursal],Sucursal!R$5,Tabla_Registro_de_movimientos_app.accdb[Detalle de movimiento],Sucursal!$A23,Tabla_Registro_de_movimientos_app.accdb[Fecha],"&gt;"&amp;Sucursal!$B$4,Tabla_Registro_de_movimientos_app.accdb[Fecha],"&lt;="&amp;Sucursal!$C$4)</f>
        <v>0</v>
      </c>
      <c r="S23" s="194" t="e">
        <f t="shared" si="29"/>
        <v>#DIV/0!</v>
      </c>
      <c r="T23">
        <f>SUMIFS(Tabla_Registro_de_movimientos_app.accdb[Importe_Costo],Tabla_Registro_de_movimientos_app.accdb[Sucursal],Sucursal!T$5,Tabla_Registro_de_movimientos_app.accdb[Detalle de movimiento],Sucursal!$A23,Tabla_Registro_de_movimientos_app.accdb[Fecha],"&gt;"&amp;Sucursal!$B$4,Tabla_Registro_de_movimientos_app.accdb[Fecha],"&lt;="&amp;Sucursal!$C$4)</f>
        <v>0</v>
      </c>
      <c r="U23" s="194" t="e">
        <f t="shared" si="30"/>
        <v>#DIV/0!</v>
      </c>
      <c r="V23">
        <f>SUMIFS(Tabla_Registro_de_movimientos_app.accdb[Importe_Costo],Tabla_Registro_de_movimientos_app.accdb[Sucursal],Sucursal!V$5,Tabla_Registro_de_movimientos_app.accdb[Detalle de movimiento],Sucursal!$A23,Tabla_Registro_de_movimientos_app.accdb[Fecha],"&gt;"&amp;Sucursal!$B$4,Tabla_Registro_de_movimientos_app.accdb[Fecha],"&lt;="&amp;Sucursal!$C$4)</f>
        <v>0</v>
      </c>
      <c r="W23" s="194" t="e">
        <f t="shared" si="31"/>
        <v>#DIV/0!</v>
      </c>
      <c r="X23">
        <f>SUMIFS(Tabla_Registro_de_movimientos_app.accdb[Importe_Costo],Tabla_Registro_de_movimientos_app.accdb[Sucursal],Sucursal!X$5,Tabla_Registro_de_movimientos_app.accdb[Detalle de movimiento],Sucursal!$A23,Tabla_Registro_de_movimientos_app.accdb[Fecha],"&gt;"&amp;Sucursal!$B$4,Tabla_Registro_de_movimientos_app.accdb[Fecha],"&lt;="&amp;Sucursal!$C$4)</f>
        <v>0</v>
      </c>
      <c r="Y23" s="194" t="e">
        <f t="shared" si="32"/>
        <v>#DIV/0!</v>
      </c>
      <c r="Z23">
        <f>SUMIFS(Tabla_Registro_de_movimientos_app.accdb[Importe_Costo],Tabla_Registro_de_movimientos_app.accdb[Sucursal],Sucursal!Z$5,Tabla_Registro_de_movimientos_app.accdb[Detalle de movimiento],Sucursal!$A23,Tabla_Registro_de_movimientos_app.accdb[Fecha],"&gt;"&amp;Sucursal!$B$4,Tabla_Registro_de_movimientos_app.accdb[Fecha],"&lt;="&amp;Sucursal!$C$4)</f>
        <v>0</v>
      </c>
      <c r="AA23" s="194" t="e">
        <f t="shared" si="33"/>
        <v>#DIV/0!</v>
      </c>
      <c r="AB23">
        <f>SUMIFS(Tabla_Registro_de_movimientos_app.accdb[Importe_Costo],Tabla_Registro_de_movimientos_app.accdb[Sucursal],Sucursal!AB$5,Tabla_Registro_de_movimientos_app.accdb[Detalle de movimiento],Sucursal!$A23,Tabla_Registro_de_movimientos_app.accdb[Fecha],"&gt;"&amp;Sucursal!$B$4,Tabla_Registro_de_movimientos_app.accdb[Fecha],"&lt;="&amp;Sucursal!$C$4)</f>
        <v>0</v>
      </c>
      <c r="AC23" s="194" t="e">
        <f t="shared" si="34"/>
        <v>#DIV/0!</v>
      </c>
      <c r="AD23">
        <f>SUMIFS(Tabla_Registro_de_movimientos_app.accdb[Importe_Costo],Tabla_Registro_de_movimientos_app.accdb[Sucursal],Sucursal!AD$5,Tabla_Registro_de_movimientos_app.accdb[Detalle de movimiento],Sucursal!$A23,Tabla_Registro_de_movimientos_app.accdb[Fecha],"&gt;"&amp;Sucursal!$B$4,Tabla_Registro_de_movimientos_app.accdb[Fecha],"&lt;="&amp;Sucursal!$C$4)</f>
        <v>0</v>
      </c>
      <c r="AE23" s="194" t="e">
        <f t="shared" si="35"/>
        <v>#DIV/0!</v>
      </c>
      <c r="AF23">
        <f>SUMIFS(Tabla_Registro_de_movimientos_app.accdb[Importe_Costo],Tabla_Registro_de_movimientos_app.accdb[Sucursal],Sucursal!AF$5,Tabla_Registro_de_movimientos_app.accdb[Detalle de movimiento],Sucursal!$A23,Tabla_Registro_de_movimientos_app.accdb[Fecha],"&gt;"&amp;Sucursal!$B$4,Tabla_Registro_de_movimientos_app.accdb[Fecha],"&lt;="&amp;Sucursal!$C$4)</f>
        <v>0</v>
      </c>
      <c r="AG23" s="194" t="e">
        <f t="shared" si="36"/>
        <v>#DIV/0!</v>
      </c>
      <c r="AH23">
        <f>SUMIFS(Tabla_Registro_de_movimientos_app.accdb[Importe_Costo],Tabla_Registro_de_movimientos_app.accdb[Sucursal],Sucursal!AH$5,Tabla_Registro_de_movimientos_app.accdb[Detalle de movimiento],Sucursal!$A23,Tabla_Registro_de_movimientos_app.accdb[Fecha],"&gt;"&amp;Sucursal!$B$4,Tabla_Registro_de_movimientos_app.accdb[Fecha],"&lt;="&amp;Sucursal!$C$4)</f>
        <v>0</v>
      </c>
      <c r="AI23" s="194" t="e">
        <f t="shared" si="37"/>
        <v>#DIV/0!</v>
      </c>
      <c r="AJ23">
        <f>SUMIFS(Tabla_Registro_de_movimientos_app.accdb[Importe_Costo],Tabla_Registro_de_movimientos_app.accdb[Sucursal],Sucursal!AJ$5,Tabla_Registro_de_movimientos_app.accdb[Detalle de movimiento],Sucursal!$A23,Tabla_Registro_de_movimientos_app.accdb[Fecha],"&gt;"&amp;Sucursal!$B$4,Tabla_Registro_de_movimientos_app.accdb[Fecha],"&lt;="&amp;Sucursal!$C$4)</f>
        <v>0</v>
      </c>
      <c r="AK23" s="194" t="e">
        <f t="shared" si="38"/>
        <v>#DIV/0!</v>
      </c>
      <c r="AM23" s="188">
        <f t="shared" si="20"/>
        <v>0</v>
      </c>
      <c r="AN23" s="189" t="e">
        <f t="shared" si="21"/>
        <v>#DIV/0!</v>
      </c>
    </row>
    <row r="24" spans="1:40" ht="15.75" thickBot="1" x14ac:dyDescent="0.3">
      <c r="A24" s="8" t="s">
        <v>58</v>
      </c>
      <c r="B24" s="8">
        <f>SUM(B16:B23)</f>
        <v>0</v>
      </c>
      <c r="C24" s="195" t="e">
        <f>SUM(C16:C23)</f>
        <v>#DIV/0!</v>
      </c>
      <c r="D24" s="8">
        <f>SUM(D16:D23)</f>
        <v>0</v>
      </c>
      <c r="E24" s="8"/>
      <c r="F24" s="8">
        <f>SUM(F16:F23)</f>
        <v>0</v>
      </c>
      <c r="G24" s="195" t="e">
        <f>SUM(G16:G23)</f>
        <v>#DIV/0!</v>
      </c>
      <c r="H24" s="8">
        <f>SUM(H16:H23)</f>
        <v>0</v>
      </c>
      <c r="I24" s="8"/>
      <c r="J24" s="8">
        <f>SUM(J16:J23)</f>
        <v>0</v>
      </c>
      <c r="K24" s="8"/>
      <c r="L24" s="8">
        <f>SUM(L16:L23)</f>
        <v>0</v>
      </c>
      <c r="M24" s="8"/>
      <c r="N24" s="8">
        <f>SUM(N16:N23)</f>
        <v>0</v>
      </c>
      <c r="O24" s="8"/>
      <c r="P24" s="8">
        <f>SUM(P16:P23)</f>
        <v>0</v>
      </c>
      <c r="Q24" s="8"/>
      <c r="R24" s="8">
        <f>SUM(R16:R23)</f>
        <v>0</v>
      </c>
      <c r="S24" s="8"/>
      <c r="T24" s="8">
        <f>SUM(T16:T23)</f>
        <v>0</v>
      </c>
      <c r="U24" s="8"/>
      <c r="V24" s="8">
        <f>SUM(V16:V23)</f>
        <v>0</v>
      </c>
      <c r="W24" s="8"/>
      <c r="X24" s="8">
        <f>SUM(X16:X23)</f>
        <v>0</v>
      </c>
      <c r="Y24" s="8"/>
      <c r="Z24" s="8">
        <f>SUM(Z16:Z23)</f>
        <v>0</v>
      </c>
      <c r="AA24" s="8"/>
      <c r="AB24" s="8">
        <f>SUM(AB16:AB23)</f>
        <v>0</v>
      </c>
      <c r="AC24" s="8"/>
      <c r="AD24" s="8">
        <f>SUM(AD16:AD23)</f>
        <v>0</v>
      </c>
      <c r="AE24" s="8"/>
      <c r="AF24" s="8">
        <f>SUM(AF16:AF23)</f>
        <v>0</v>
      </c>
      <c r="AG24" s="8"/>
      <c r="AH24" s="8">
        <f>SUM(AH16:AH23)</f>
        <v>0</v>
      </c>
      <c r="AI24" s="8"/>
      <c r="AJ24" s="8">
        <f>SUM(AJ16:AJ23)</f>
        <v>0</v>
      </c>
      <c r="AK24" s="8"/>
      <c r="AL24" s="8"/>
      <c r="AM24" s="192">
        <f>SUM(AM16:AM23)</f>
        <v>0</v>
      </c>
      <c r="AN24" s="196">
        <f>AM24/AM13</f>
        <v>0</v>
      </c>
    </row>
    <row r="25" spans="1:40" ht="15.75" thickTop="1" x14ac:dyDescent="0.25"/>
    <row r="26" spans="1:40" ht="15.75" thickBot="1" x14ac:dyDescent="0.3">
      <c r="A26" t="s">
        <v>59</v>
      </c>
      <c r="B26" s="6">
        <f>B13-B24</f>
        <v>0</v>
      </c>
      <c r="C26" s="194" t="e">
        <f>B26/B13</f>
        <v>#DIV/0!</v>
      </c>
      <c r="D26" s="6">
        <f>D13-D24</f>
        <v>0</v>
      </c>
      <c r="E26" s="194" t="e">
        <f>D26/D13</f>
        <v>#DIV/0!</v>
      </c>
      <c r="F26" s="6">
        <f>F13-F24</f>
        <v>0</v>
      </c>
      <c r="G26" s="194" t="e">
        <f>F26/F13</f>
        <v>#DIV/0!</v>
      </c>
      <c r="H26" s="6">
        <f>H13-H24</f>
        <v>0</v>
      </c>
      <c r="I26" s="194" t="e">
        <f>H26/H13</f>
        <v>#DIV/0!</v>
      </c>
      <c r="J26" s="6">
        <f>J13-J24</f>
        <v>0</v>
      </c>
      <c r="K26" s="194" t="e">
        <f>J26/J13</f>
        <v>#DIV/0!</v>
      </c>
      <c r="L26" s="6">
        <f>L13-L24</f>
        <v>0</v>
      </c>
      <c r="M26" s="194" t="e">
        <f>L26/L13</f>
        <v>#DIV/0!</v>
      </c>
      <c r="N26" s="6">
        <f>N13-N24</f>
        <v>0</v>
      </c>
      <c r="O26" s="194" t="e">
        <f>N26/N13</f>
        <v>#DIV/0!</v>
      </c>
      <c r="P26" s="6">
        <f>P13-P24</f>
        <v>1500</v>
      </c>
      <c r="Q26" s="194">
        <f>P26/P13</f>
        <v>1</v>
      </c>
      <c r="R26" s="6">
        <f>R13-R24</f>
        <v>0</v>
      </c>
      <c r="S26" s="194" t="e">
        <f>R26/R13</f>
        <v>#DIV/0!</v>
      </c>
      <c r="T26" s="6">
        <f>T13-T24</f>
        <v>0</v>
      </c>
      <c r="U26" s="194" t="e">
        <f>T26/T13</f>
        <v>#DIV/0!</v>
      </c>
      <c r="V26" s="6">
        <f>V13-V24</f>
        <v>0</v>
      </c>
      <c r="W26" s="194" t="e">
        <f>V26/V13</f>
        <v>#DIV/0!</v>
      </c>
      <c r="X26" s="6">
        <f>X13-X24</f>
        <v>0</v>
      </c>
      <c r="Y26" s="194" t="e">
        <f>X26/X13</f>
        <v>#DIV/0!</v>
      </c>
      <c r="Z26" s="6">
        <f>Z13-Z24</f>
        <v>0</v>
      </c>
      <c r="AA26" s="194" t="e">
        <f>Z26/Z13</f>
        <v>#DIV/0!</v>
      </c>
      <c r="AB26" s="6">
        <f>AB13-AB24</f>
        <v>0</v>
      </c>
      <c r="AC26" s="194" t="e">
        <f>AB26/AB13</f>
        <v>#DIV/0!</v>
      </c>
      <c r="AD26" s="6">
        <f>AD13-AD24</f>
        <v>0</v>
      </c>
      <c r="AE26" s="194" t="e">
        <f>AD26/AD13</f>
        <v>#DIV/0!</v>
      </c>
      <c r="AF26" s="6">
        <f>AF13-AF24</f>
        <v>0</v>
      </c>
      <c r="AG26" s="194" t="e">
        <f>AF26/AF13</f>
        <v>#DIV/0!</v>
      </c>
      <c r="AH26" s="6">
        <f>AH13-AH24</f>
        <v>0</v>
      </c>
      <c r="AI26" s="194" t="e">
        <f>AH26/AH13</f>
        <v>#DIV/0!</v>
      </c>
      <c r="AJ26" s="6">
        <f>AJ13-AJ24</f>
        <v>0</v>
      </c>
      <c r="AK26" s="194" t="e">
        <f>AJ26/AJ13</f>
        <v>#DIV/0!</v>
      </c>
      <c r="AM26" s="192">
        <f>SUM(B26,D26,F26,H26,J26,L26,N26,P26,R26,T26,V26,X26,Z26,AB26,AD26,AF26,AH26,AJ26)</f>
        <v>1500</v>
      </c>
      <c r="AN26" s="197">
        <f>AM26/AM13</f>
        <v>1</v>
      </c>
    </row>
    <row r="27" spans="1:40" ht="15.75" thickTop="1" x14ac:dyDescent="0.25"/>
    <row r="28" spans="1:40" x14ac:dyDescent="0.25">
      <c r="A28" s="7" t="s">
        <v>60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t="s">
        <v>118</v>
      </c>
      <c r="B29">
        <f>SUMIFS(Tabla_Registro_de_movimientos_app.accdb[Importe_Gasto],Tabla_Registro_de_movimientos_app.accdb[Sucursal],Sucursal!$B$5,Tabla_Registro_de_movimientos_app.accdb[Detalle de movimiento],Sucursal!A29,Tabla_Registro_de_movimientos_app.accdb[Fecha],"&gt;"&amp;Sucursal!$B$4,Tabla_Registro_de_movimientos_app.accdb[Fecha],"&lt;="&amp;Sucursal!$C$4)</f>
        <v>0</v>
      </c>
      <c r="C29" s="187" t="e">
        <f>B29/$B$33</f>
        <v>#DIV/0!</v>
      </c>
      <c r="D29">
        <f>SUMIFS(Tabla_Registro_de_movimientos_app.accdb[Importe_Gasto],Tabla_Registro_de_movimientos_app.accdb[Sucursal],Sucursal!D$5,Tabla_Registro_de_movimientos_app.accdb[Detalle de movimiento],Sucursal!$A29,Tabla_Registro_de_movimientos_app.accdb[Fecha],"&gt;"&amp;Sucursal!$B$4,Tabla_Registro_de_movimientos_app.accdb[Fecha],"&lt;="&amp;Sucursal!$C$4)</f>
        <v>0</v>
      </c>
      <c r="E29" s="194" t="e">
        <f>D29/$D$33</f>
        <v>#DIV/0!</v>
      </c>
      <c r="F29">
        <f>SUMIFS(Tabla_Registro_de_movimientos_app.accdb[Importe_Gasto],Tabla_Registro_de_movimientos_app.accdb[Sucursal],Sucursal!F$5,Tabla_Registro_de_movimientos_app.accdb[Detalle de movimiento],Sucursal!$A29,Tabla_Registro_de_movimientos_app.accdb[Fecha],"&gt;"&amp;Sucursal!$B$4,Tabla_Registro_de_movimientos_app.accdb[Fecha],"&lt;="&amp;Sucursal!$C$4)</f>
        <v>0</v>
      </c>
      <c r="G29" s="194" t="e">
        <f>F29/F$33</f>
        <v>#DIV/0!</v>
      </c>
      <c r="H29">
        <f>SUMIFS(Tabla_Registro_de_movimientos_app.accdb[Importe_Gasto],Tabla_Registro_de_movimientos_app.accdb[Sucursal],Sucursal!H$5,Tabla_Registro_de_movimientos_app.accdb[Detalle de movimiento],Sucursal!$A29,Tabla_Registro_de_movimientos_app.accdb[Fecha],"&gt;"&amp;Sucursal!$B$4,Tabla_Registro_de_movimientos_app.accdb[Fecha],"&lt;="&amp;Sucursal!$C$4)</f>
        <v>0</v>
      </c>
      <c r="I29" s="194" t="e">
        <f>H29/H$33</f>
        <v>#DIV/0!</v>
      </c>
      <c r="J29">
        <f>SUMIFS(Tabla_Registro_de_movimientos_app.accdb[Importe_Gasto],Tabla_Registro_de_movimientos_app.accdb[Sucursal],Sucursal!J$5,Tabla_Registro_de_movimientos_app.accdb[Detalle de movimiento],Sucursal!$A29,Tabla_Registro_de_movimientos_app.accdb[Fecha],"&gt;"&amp;Sucursal!$B$4,Tabla_Registro_de_movimientos_app.accdb[Fecha],"&lt;="&amp;Sucursal!$C$4)</f>
        <v>0</v>
      </c>
      <c r="K29" s="194" t="e">
        <f>J29/J$33</f>
        <v>#DIV/0!</v>
      </c>
      <c r="L29">
        <f>SUMIFS(Tabla_Registro_de_movimientos_app.accdb[Importe_Gasto],Tabla_Registro_de_movimientos_app.accdb[Sucursal],Sucursal!L$5,Tabla_Registro_de_movimientos_app.accdb[Detalle de movimiento],Sucursal!$A29,Tabla_Registro_de_movimientos_app.accdb[Fecha],"&gt;"&amp;Sucursal!$B$4,Tabla_Registro_de_movimientos_app.accdb[Fecha],"&lt;="&amp;Sucursal!$C$4)</f>
        <v>0</v>
      </c>
      <c r="M29" s="194" t="e">
        <f>L29/L$33</f>
        <v>#DIV/0!</v>
      </c>
      <c r="N29">
        <f>SUMIFS(Tabla_Registro_de_movimientos_app.accdb[Importe_Gasto],Tabla_Registro_de_movimientos_app.accdb[Sucursal],Sucursal!N$5,Tabla_Registro_de_movimientos_app.accdb[Detalle de movimiento],Sucursal!$A29,Tabla_Registro_de_movimientos_app.accdb[Fecha],"&gt;"&amp;Sucursal!$B$4,Tabla_Registro_de_movimientos_app.accdb[Fecha],"&lt;="&amp;Sucursal!$C$4)</f>
        <v>0</v>
      </c>
      <c r="O29" s="194" t="e">
        <f>N29/N$33</f>
        <v>#DIV/0!</v>
      </c>
      <c r="P29">
        <f>SUMIFS(Tabla_Registro_de_movimientos_app.accdb[Importe_Gasto],Tabla_Registro_de_movimientos_app.accdb[Sucursal],Sucursal!P$5,Tabla_Registro_de_movimientos_app.accdb[Detalle de movimiento],Sucursal!$A29,Tabla_Registro_de_movimientos_app.accdb[Fecha],"&gt;"&amp;Sucursal!$B$4,Tabla_Registro_de_movimientos_app.accdb[Fecha],"&lt;="&amp;Sucursal!$C$4)</f>
        <v>0</v>
      </c>
      <c r="Q29" s="194" t="e">
        <f>P29/P$33</f>
        <v>#DIV/0!</v>
      </c>
      <c r="R29">
        <f>SUMIFS(Tabla_Registro_de_movimientos_app.accdb[Importe_Gasto],Tabla_Registro_de_movimientos_app.accdb[Sucursal],Sucursal!R$5,Tabla_Registro_de_movimientos_app.accdb[Detalle de movimiento],Sucursal!$A29,Tabla_Registro_de_movimientos_app.accdb[Fecha],"&gt;"&amp;Sucursal!$B$4,Tabla_Registro_de_movimientos_app.accdb[Fecha],"&lt;="&amp;Sucursal!$C$4)</f>
        <v>0</v>
      </c>
      <c r="S29" s="194" t="e">
        <f>R29/R$33</f>
        <v>#DIV/0!</v>
      </c>
      <c r="T29">
        <f>SUMIFS(Tabla_Registro_de_movimientos_app.accdb[Importe_Gasto],Tabla_Registro_de_movimientos_app.accdb[Sucursal],Sucursal!T$5,Tabla_Registro_de_movimientos_app.accdb[Detalle de movimiento],Sucursal!$A29,Tabla_Registro_de_movimientos_app.accdb[Fecha],"&gt;"&amp;Sucursal!$B$4,Tabla_Registro_de_movimientos_app.accdb[Fecha],"&lt;="&amp;Sucursal!$C$4)</f>
        <v>0</v>
      </c>
      <c r="U29" s="194" t="e">
        <f>T29/T$33</f>
        <v>#DIV/0!</v>
      </c>
      <c r="V29">
        <f>SUMIFS(Tabla_Registro_de_movimientos_app.accdb[Importe_Gasto],Tabla_Registro_de_movimientos_app.accdb[Sucursal],Sucursal!V$5,Tabla_Registro_de_movimientos_app.accdb[Detalle de movimiento],Sucursal!$A29,Tabla_Registro_de_movimientos_app.accdb[Fecha],"&gt;"&amp;Sucursal!$B$4,Tabla_Registro_de_movimientos_app.accdb[Fecha],"&lt;="&amp;Sucursal!$C$4)</f>
        <v>0</v>
      </c>
      <c r="W29" s="194" t="e">
        <f>V29/V$33</f>
        <v>#DIV/0!</v>
      </c>
      <c r="X29">
        <f>SUMIFS(Tabla_Registro_de_movimientos_app.accdb[Importe_Gasto],Tabla_Registro_de_movimientos_app.accdb[Sucursal],Sucursal!X$5,Tabla_Registro_de_movimientos_app.accdb[Detalle de movimiento],Sucursal!$A29,Tabla_Registro_de_movimientos_app.accdb[Fecha],"&gt;"&amp;Sucursal!$B$4,Tabla_Registro_de_movimientos_app.accdb[Fecha],"&lt;="&amp;Sucursal!$C$4)</f>
        <v>0</v>
      </c>
      <c r="Y29" s="194" t="e">
        <f>X29/X$33</f>
        <v>#DIV/0!</v>
      </c>
      <c r="Z29">
        <f>SUMIFS(Tabla_Registro_de_movimientos_app.accdb[Importe_Gasto],Tabla_Registro_de_movimientos_app.accdb[Sucursal],Sucursal!Z$5,Tabla_Registro_de_movimientos_app.accdb[Detalle de movimiento],Sucursal!$A29,Tabla_Registro_de_movimientos_app.accdb[Fecha],"&gt;"&amp;Sucursal!$B$4,Tabla_Registro_de_movimientos_app.accdb[Fecha],"&lt;="&amp;Sucursal!$C$4)</f>
        <v>0</v>
      </c>
      <c r="AA29" s="194" t="e">
        <f>Z29/Z$33</f>
        <v>#DIV/0!</v>
      </c>
      <c r="AB29">
        <f>SUMIFS(Tabla_Registro_de_movimientos_app.accdb[Importe_Gasto],Tabla_Registro_de_movimientos_app.accdb[Sucursal],Sucursal!AB$5,Tabla_Registro_de_movimientos_app.accdb[Detalle de movimiento],Sucursal!$A29,Tabla_Registro_de_movimientos_app.accdb[Fecha],"&gt;"&amp;Sucursal!$B$4,Tabla_Registro_de_movimientos_app.accdb[Fecha],"&lt;="&amp;Sucursal!$C$4)</f>
        <v>0</v>
      </c>
      <c r="AC29" s="194" t="e">
        <f>AB29/AB$33</f>
        <v>#DIV/0!</v>
      </c>
      <c r="AD29">
        <f>SUMIFS(Tabla_Registro_de_movimientos_app.accdb[Importe_Gasto],Tabla_Registro_de_movimientos_app.accdb[Sucursal],Sucursal!AD$5,Tabla_Registro_de_movimientos_app.accdb[Detalle de movimiento],Sucursal!$A29,Tabla_Registro_de_movimientos_app.accdb[Fecha],"&gt;"&amp;Sucursal!$B$4,Tabla_Registro_de_movimientos_app.accdb[Fecha],"&lt;="&amp;Sucursal!$C$4)</f>
        <v>0</v>
      </c>
      <c r="AE29" s="194" t="e">
        <f>AD29/AD$33</f>
        <v>#DIV/0!</v>
      </c>
      <c r="AF29">
        <f>SUMIFS(Tabla_Registro_de_movimientos_app.accdb[Importe_Gasto],Tabla_Registro_de_movimientos_app.accdb[Sucursal],Sucursal!AF$5,Tabla_Registro_de_movimientos_app.accdb[Detalle de movimiento],Sucursal!$A29,Tabla_Registro_de_movimientos_app.accdb[Fecha],"&gt;"&amp;Sucursal!$B$4,Tabla_Registro_de_movimientos_app.accdb[Fecha],"&lt;="&amp;Sucursal!$C$4)</f>
        <v>0</v>
      </c>
      <c r="AG29" s="194" t="e">
        <f>AF29/AF$33</f>
        <v>#DIV/0!</v>
      </c>
      <c r="AH29">
        <f>SUMIFS(Tabla_Registro_de_movimientos_app.accdb[Importe_Gasto],Tabla_Registro_de_movimientos_app.accdb[Sucursal],Sucursal!AH$5,Tabla_Registro_de_movimientos_app.accdb[Detalle de movimiento],Sucursal!$A29,Tabla_Registro_de_movimientos_app.accdb[Fecha],"&gt;"&amp;Sucursal!$B$4,Tabla_Registro_de_movimientos_app.accdb[Fecha],"&lt;="&amp;Sucursal!$C$4)</f>
        <v>0</v>
      </c>
      <c r="AI29" s="194" t="e">
        <f>AH29/AH$33</f>
        <v>#DIV/0!</v>
      </c>
      <c r="AJ29">
        <f>SUMIFS(Tabla_Registro_de_movimientos_app.accdb[Importe_Gasto],Tabla_Registro_de_movimientos_app.accdb[Sucursal],Sucursal!AJ$5,Tabla_Registro_de_movimientos_app.accdb[Detalle de movimiento],Sucursal!$A29,Tabla_Registro_de_movimientos_app.accdb[Fecha],"&gt;"&amp;Sucursal!$B$4,Tabla_Registro_de_movimientos_app.accdb[Fecha],"&lt;="&amp;Sucursal!$C$4)</f>
        <v>0</v>
      </c>
      <c r="AK29" s="194" t="e">
        <f>AJ29/AJ$33</f>
        <v>#DIV/0!</v>
      </c>
      <c r="AM29" s="188">
        <f>SUM(B29,D29,F29,H29,J29,L29,N29,P29,R29,T29,V29,X29,Z29,AB29,AD29,AF29,AH29,AJ29)</f>
        <v>0</v>
      </c>
      <c r="AN29" s="189" t="e">
        <f>AM29/$AM$33</f>
        <v>#DIV/0!</v>
      </c>
    </row>
    <row r="30" spans="1:40" x14ac:dyDescent="0.25">
      <c r="A30" t="s">
        <v>119</v>
      </c>
      <c r="B30">
        <f>SUMIFS(Tabla_Registro_de_movimientos_app.accdb[Importe_Gasto],Tabla_Registro_de_movimientos_app.accdb[Sucursal],Sucursal!$B$5,Tabla_Registro_de_movimientos_app.accdb[Detalle de movimiento],Sucursal!A30,Tabla_Registro_de_movimientos_app.accdb[Fecha],"&gt;"&amp;Sucursal!$B$4,Tabla_Registro_de_movimientos_app.accdb[Fecha],"&lt;="&amp;Sucursal!$C$4)</f>
        <v>0</v>
      </c>
      <c r="C30" s="187" t="e">
        <f t="shared" ref="C30:C32" si="44">B30/$B$33</f>
        <v>#DIV/0!</v>
      </c>
      <c r="D30">
        <f>SUMIFS(Tabla_Registro_de_movimientos_app.accdb[Importe_Gasto],Tabla_Registro_de_movimientos_app.accdb[Sucursal],Sucursal!D$5,Tabla_Registro_de_movimientos_app.accdb[Detalle de movimiento],Sucursal!$A30,Tabla_Registro_de_movimientos_app.accdb[Fecha],"&gt;"&amp;Sucursal!$B$4,Tabla_Registro_de_movimientos_app.accdb[Fecha],"&lt;="&amp;Sucursal!$C$4)</f>
        <v>0</v>
      </c>
      <c r="E30" s="194" t="e">
        <f t="shared" ref="E30:E32" si="45">D30/$D$33</f>
        <v>#DIV/0!</v>
      </c>
      <c r="F30">
        <f>SUMIFS(Tabla_Registro_de_movimientos_app.accdb[Importe_Gasto],Tabla_Registro_de_movimientos_app.accdb[Sucursal],Sucursal!F$5,Tabla_Registro_de_movimientos_app.accdb[Detalle de movimiento],Sucursal!$A30,Tabla_Registro_de_movimientos_app.accdb[Fecha],"&gt;"&amp;Sucursal!$B$4,Tabla_Registro_de_movimientos_app.accdb[Fecha],"&lt;="&amp;Sucursal!$C$4)</f>
        <v>0</v>
      </c>
      <c r="G30" s="194" t="e">
        <f t="shared" ref="G30:I32" si="46">F30/F$33</f>
        <v>#DIV/0!</v>
      </c>
      <c r="H30">
        <f>SUMIFS(Tabla_Registro_de_movimientos_app.accdb[Importe_Gasto],Tabla_Registro_de_movimientos_app.accdb[Sucursal],Sucursal!H$5,Tabla_Registro_de_movimientos_app.accdb[Detalle de movimiento],Sucursal!$A30,Tabla_Registro_de_movimientos_app.accdb[Fecha],"&gt;"&amp;Sucursal!$B$4,Tabla_Registro_de_movimientos_app.accdb[Fecha],"&lt;="&amp;Sucursal!$C$4)</f>
        <v>0</v>
      </c>
      <c r="I30" s="194" t="e">
        <f t="shared" si="46"/>
        <v>#DIV/0!</v>
      </c>
      <c r="J30">
        <f>SUMIFS(Tabla_Registro_de_movimientos_app.accdb[Importe_Gasto],Tabla_Registro_de_movimientos_app.accdb[Sucursal],Sucursal!J$5,Tabla_Registro_de_movimientos_app.accdb[Detalle de movimiento],Sucursal!$A30,Tabla_Registro_de_movimientos_app.accdb[Fecha],"&gt;"&amp;Sucursal!$B$4,Tabla_Registro_de_movimientos_app.accdb[Fecha],"&lt;="&amp;Sucursal!$C$4)</f>
        <v>0</v>
      </c>
      <c r="K30" s="194" t="e">
        <f t="shared" ref="K30" si="47">J30/J$33</f>
        <v>#DIV/0!</v>
      </c>
      <c r="L30">
        <f>SUMIFS(Tabla_Registro_de_movimientos_app.accdb[Importe_Gasto],Tabla_Registro_de_movimientos_app.accdb[Sucursal],Sucursal!L$5,Tabla_Registro_de_movimientos_app.accdb[Detalle de movimiento],Sucursal!$A30,Tabla_Registro_de_movimientos_app.accdb[Fecha],"&gt;"&amp;Sucursal!$B$4,Tabla_Registro_de_movimientos_app.accdb[Fecha],"&lt;="&amp;Sucursal!$C$4)</f>
        <v>0</v>
      </c>
      <c r="M30" s="194" t="e">
        <f t="shared" ref="M30" si="48">L30/L$33</f>
        <v>#DIV/0!</v>
      </c>
      <c r="N30">
        <f>SUMIFS(Tabla_Registro_de_movimientos_app.accdb[Importe_Gasto],Tabla_Registro_de_movimientos_app.accdb[Sucursal],Sucursal!N$5,Tabla_Registro_de_movimientos_app.accdb[Detalle de movimiento],Sucursal!$A30,Tabla_Registro_de_movimientos_app.accdb[Fecha],"&gt;"&amp;Sucursal!$B$4,Tabla_Registro_de_movimientos_app.accdb[Fecha],"&lt;="&amp;Sucursal!$C$4)</f>
        <v>0</v>
      </c>
      <c r="O30" s="194" t="e">
        <f t="shared" ref="O30" si="49">N30/N$33</f>
        <v>#DIV/0!</v>
      </c>
      <c r="P30">
        <f>SUMIFS(Tabla_Registro_de_movimientos_app.accdb[Importe_Gasto],Tabla_Registro_de_movimientos_app.accdb[Sucursal],Sucursal!P$5,Tabla_Registro_de_movimientos_app.accdb[Detalle de movimiento],Sucursal!$A30,Tabla_Registro_de_movimientos_app.accdb[Fecha],"&gt;"&amp;Sucursal!$B$4,Tabla_Registro_de_movimientos_app.accdb[Fecha],"&lt;="&amp;Sucursal!$C$4)</f>
        <v>0</v>
      </c>
      <c r="Q30" s="194" t="e">
        <f t="shared" ref="Q30" si="50">P30/P$33</f>
        <v>#DIV/0!</v>
      </c>
      <c r="R30">
        <f>SUMIFS(Tabla_Registro_de_movimientos_app.accdb[Importe_Gasto],Tabla_Registro_de_movimientos_app.accdb[Sucursal],Sucursal!R$5,Tabla_Registro_de_movimientos_app.accdb[Detalle de movimiento],Sucursal!$A30,Tabla_Registro_de_movimientos_app.accdb[Fecha],"&gt;"&amp;Sucursal!$B$4,Tabla_Registro_de_movimientos_app.accdb[Fecha],"&lt;="&amp;Sucursal!$C$4)</f>
        <v>0</v>
      </c>
      <c r="S30" s="194" t="e">
        <f t="shared" ref="S30" si="51">R30/R$33</f>
        <v>#DIV/0!</v>
      </c>
      <c r="T30">
        <f>SUMIFS(Tabla_Registro_de_movimientos_app.accdb[Importe_Gasto],Tabla_Registro_de_movimientos_app.accdb[Sucursal],Sucursal!T$5,Tabla_Registro_de_movimientos_app.accdb[Detalle de movimiento],Sucursal!$A30,Tabla_Registro_de_movimientos_app.accdb[Fecha],"&gt;"&amp;Sucursal!$B$4,Tabla_Registro_de_movimientos_app.accdb[Fecha],"&lt;="&amp;Sucursal!$C$4)</f>
        <v>0</v>
      </c>
      <c r="U30" s="194" t="e">
        <f t="shared" ref="U30" si="52">T30/T$33</f>
        <v>#DIV/0!</v>
      </c>
      <c r="V30">
        <f>SUMIFS(Tabla_Registro_de_movimientos_app.accdb[Importe_Gasto],Tabla_Registro_de_movimientos_app.accdb[Sucursal],Sucursal!V$5,Tabla_Registro_de_movimientos_app.accdb[Detalle de movimiento],Sucursal!$A30,Tabla_Registro_de_movimientos_app.accdb[Fecha],"&gt;"&amp;Sucursal!$B$4,Tabla_Registro_de_movimientos_app.accdb[Fecha],"&lt;="&amp;Sucursal!$C$4)</f>
        <v>0</v>
      </c>
      <c r="W30" s="194" t="e">
        <f t="shared" ref="W30" si="53">V30/V$33</f>
        <v>#DIV/0!</v>
      </c>
      <c r="X30">
        <f>SUMIFS(Tabla_Registro_de_movimientos_app.accdb[Importe_Gasto],Tabla_Registro_de_movimientos_app.accdb[Sucursal],Sucursal!X$5,Tabla_Registro_de_movimientos_app.accdb[Detalle de movimiento],Sucursal!$A30,Tabla_Registro_de_movimientos_app.accdb[Fecha],"&gt;"&amp;Sucursal!$B$4,Tabla_Registro_de_movimientos_app.accdb[Fecha],"&lt;="&amp;Sucursal!$C$4)</f>
        <v>0</v>
      </c>
      <c r="Y30" s="194" t="e">
        <f t="shared" ref="Y30" si="54">X30/X$33</f>
        <v>#DIV/0!</v>
      </c>
      <c r="Z30">
        <f>SUMIFS(Tabla_Registro_de_movimientos_app.accdb[Importe_Gasto],Tabla_Registro_de_movimientos_app.accdb[Sucursal],Sucursal!Z$5,Tabla_Registro_de_movimientos_app.accdb[Detalle de movimiento],Sucursal!$A30,Tabla_Registro_de_movimientos_app.accdb[Fecha],"&gt;"&amp;Sucursal!$B$4,Tabla_Registro_de_movimientos_app.accdb[Fecha],"&lt;="&amp;Sucursal!$C$4)</f>
        <v>0</v>
      </c>
      <c r="AA30" s="194" t="e">
        <f t="shared" ref="AA30" si="55">Z30/Z$33</f>
        <v>#DIV/0!</v>
      </c>
      <c r="AB30">
        <f>SUMIFS(Tabla_Registro_de_movimientos_app.accdb[Importe_Gasto],Tabla_Registro_de_movimientos_app.accdb[Sucursal],Sucursal!AB$5,Tabla_Registro_de_movimientos_app.accdb[Detalle de movimiento],Sucursal!$A30,Tabla_Registro_de_movimientos_app.accdb[Fecha],"&gt;"&amp;Sucursal!$B$4,Tabla_Registro_de_movimientos_app.accdb[Fecha],"&lt;="&amp;Sucursal!$C$4)</f>
        <v>0</v>
      </c>
      <c r="AC30" s="194" t="e">
        <f t="shared" ref="AC30:AC32" si="56">AB30/AB$33</f>
        <v>#DIV/0!</v>
      </c>
      <c r="AD30">
        <f>SUMIFS(Tabla_Registro_de_movimientos_app.accdb[Importe_Gasto],Tabla_Registro_de_movimientos_app.accdb[Sucursal],Sucursal!AD$5,Tabla_Registro_de_movimientos_app.accdb[Detalle de movimiento],Sucursal!$A30,Tabla_Registro_de_movimientos_app.accdb[Fecha],"&gt;"&amp;Sucursal!$B$4,Tabla_Registro_de_movimientos_app.accdb[Fecha],"&lt;="&amp;Sucursal!$C$4)</f>
        <v>0</v>
      </c>
      <c r="AE30" s="194" t="e">
        <f t="shared" ref="AE30:AE32" si="57">AD30/AD$33</f>
        <v>#DIV/0!</v>
      </c>
      <c r="AF30">
        <f>SUMIFS(Tabla_Registro_de_movimientos_app.accdb[Importe_Gasto],Tabla_Registro_de_movimientos_app.accdb[Sucursal],Sucursal!AF$5,Tabla_Registro_de_movimientos_app.accdb[Detalle de movimiento],Sucursal!$A30,Tabla_Registro_de_movimientos_app.accdb[Fecha],"&gt;"&amp;Sucursal!$B$4,Tabla_Registro_de_movimientos_app.accdb[Fecha],"&lt;="&amp;Sucursal!$C$4)</f>
        <v>0</v>
      </c>
      <c r="AG30" s="194" t="e">
        <f t="shared" ref="AG30:AG32" si="58">AF30/AF$33</f>
        <v>#DIV/0!</v>
      </c>
      <c r="AH30">
        <f>SUMIFS(Tabla_Registro_de_movimientos_app.accdb[Importe_Gasto],Tabla_Registro_de_movimientos_app.accdb[Sucursal],Sucursal!AH$5,Tabla_Registro_de_movimientos_app.accdb[Detalle de movimiento],Sucursal!$A30,Tabla_Registro_de_movimientos_app.accdb[Fecha],"&gt;"&amp;Sucursal!$B$4,Tabla_Registro_de_movimientos_app.accdb[Fecha],"&lt;="&amp;Sucursal!$C$4)</f>
        <v>0</v>
      </c>
      <c r="AI30" s="194" t="e">
        <f t="shared" ref="AI30:AI32" si="59">AH30/AH$33</f>
        <v>#DIV/0!</v>
      </c>
      <c r="AJ30">
        <f>SUMIFS(Tabla_Registro_de_movimientos_app.accdb[Importe_Gasto],Tabla_Registro_de_movimientos_app.accdb[Sucursal],Sucursal!AJ$5,Tabla_Registro_de_movimientos_app.accdb[Detalle de movimiento],Sucursal!$A30,Tabla_Registro_de_movimientos_app.accdb[Fecha],"&gt;"&amp;Sucursal!$B$4,Tabla_Registro_de_movimientos_app.accdb[Fecha],"&lt;="&amp;Sucursal!$C$4)</f>
        <v>0</v>
      </c>
      <c r="AK30" s="194" t="e">
        <f t="shared" ref="AK30:AK32" si="60">AJ30/AJ$33</f>
        <v>#DIV/0!</v>
      </c>
      <c r="AM30" s="188">
        <f t="shared" ref="AM30:AM32" si="61">SUM(B30,D30,F30,H30,J30,L30,N30,P30,R30,T30,V30,X30,Z30,AB30,AD30,AF30,AH30,AJ30)</f>
        <v>0</v>
      </c>
      <c r="AN30" s="189" t="e">
        <f t="shared" ref="AN30:AN32" si="62">AM30/$AM$33</f>
        <v>#DIV/0!</v>
      </c>
    </row>
    <row r="31" spans="1:40" x14ac:dyDescent="0.25">
      <c r="A31" t="s">
        <v>120</v>
      </c>
      <c r="B31">
        <f>SUMIFS(Tabla_Registro_de_movimientos_app.accdb[Importe_Gasto],Tabla_Registro_de_movimientos_app.accdb[Sucursal],Sucursal!$B$5,Tabla_Registro_de_movimientos_app.accdb[Detalle de movimiento],Sucursal!A31,Tabla_Registro_de_movimientos_app.accdb[Fecha],"&gt;"&amp;Sucursal!$B$4,Tabla_Registro_de_movimientos_app.accdb[Fecha],"&lt;="&amp;Sucursal!$C$4)</f>
        <v>0</v>
      </c>
      <c r="C31" s="187" t="e">
        <f t="shared" si="44"/>
        <v>#DIV/0!</v>
      </c>
      <c r="D31">
        <f>SUMIFS(Tabla_Registro_de_movimientos_app.accdb[Importe_Gasto],Tabla_Registro_de_movimientos_app.accdb[Sucursal],Sucursal!D$5,Tabla_Registro_de_movimientos_app.accdb[Detalle de movimiento],Sucursal!$A31,Tabla_Registro_de_movimientos_app.accdb[Fecha],"&gt;"&amp;Sucursal!$B$4,Tabla_Registro_de_movimientos_app.accdb[Fecha],"&lt;="&amp;Sucursal!$C$4)</f>
        <v>0</v>
      </c>
      <c r="E31" s="194" t="e">
        <f t="shared" si="45"/>
        <v>#DIV/0!</v>
      </c>
      <c r="F31">
        <f>SUMIFS(Tabla_Registro_de_movimientos_app.accdb[Importe_Gasto],Tabla_Registro_de_movimientos_app.accdb[Sucursal],Sucursal!F$5,Tabla_Registro_de_movimientos_app.accdb[Detalle de movimiento],Sucursal!$A31,Tabla_Registro_de_movimientos_app.accdb[Fecha],"&gt;"&amp;Sucursal!$B$4,Tabla_Registro_de_movimientos_app.accdb[Fecha],"&lt;="&amp;Sucursal!$C$4)</f>
        <v>0</v>
      </c>
      <c r="G31" s="194" t="e">
        <f t="shared" si="46"/>
        <v>#DIV/0!</v>
      </c>
      <c r="H31">
        <f>SUMIFS(Tabla_Registro_de_movimientos_app.accdb[Importe_Gasto],Tabla_Registro_de_movimientos_app.accdb[Sucursal],Sucursal!H$5,Tabla_Registro_de_movimientos_app.accdb[Detalle de movimiento],Sucursal!$A31,Tabla_Registro_de_movimientos_app.accdb[Fecha],"&gt;"&amp;Sucursal!$B$4,Tabla_Registro_de_movimientos_app.accdb[Fecha],"&lt;="&amp;Sucursal!$C$4)</f>
        <v>0</v>
      </c>
      <c r="I31" s="194" t="e">
        <f t="shared" si="46"/>
        <v>#DIV/0!</v>
      </c>
      <c r="J31">
        <f>SUMIFS(Tabla_Registro_de_movimientos_app.accdb[Importe_Gasto],Tabla_Registro_de_movimientos_app.accdb[Sucursal],Sucursal!J$5,Tabla_Registro_de_movimientos_app.accdb[Detalle de movimiento],Sucursal!$A31,Tabla_Registro_de_movimientos_app.accdb[Fecha],"&gt;"&amp;Sucursal!$B$4,Tabla_Registro_de_movimientos_app.accdb[Fecha],"&lt;="&amp;Sucursal!$C$4)</f>
        <v>0</v>
      </c>
      <c r="K31" s="194" t="e">
        <f t="shared" ref="K31" si="63">J31/J$33</f>
        <v>#DIV/0!</v>
      </c>
      <c r="L31">
        <f>SUMIFS(Tabla_Registro_de_movimientos_app.accdb[Importe_Gasto],Tabla_Registro_de_movimientos_app.accdb[Sucursal],Sucursal!L$5,Tabla_Registro_de_movimientos_app.accdb[Detalle de movimiento],Sucursal!$A31,Tabla_Registro_de_movimientos_app.accdb[Fecha],"&gt;"&amp;Sucursal!$B$4,Tabla_Registro_de_movimientos_app.accdb[Fecha],"&lt;="&amp;Sucursal!$C$4)</f>
        <v>0</v>
      </c>
      <c r="M31" s="194" t="e">
        <f t="shared" ref="M31" si="64">L31/L$33</f>
        <v>#DIV/0!</v>
      </c>
      <c r="N31">
        <f>SUMIFS(Tabla_Registro_de_movimientos_app.accdb[Importe_Gasto],Tabla_Registro_de_movimientos_app.accdb[Sucursal],Sucursal!N$5,Tabla_Registro_de_movimientos_app.accdb[Detalle de movimiento],Sucursal!$A31,Tabla_Registro_de_movimientos_app.accdb[Fecha],"&gt;"&amp;Sucursal!$B$4,Tabla_Registro_de_movimientos_app.accdb[Fecha],"&lt;="&amp;Sucursal!$C$4)</f>
        <v>0</v>
      </c>
      <c r="O31" s="194" t="e">
        <f t="shared" ref="O31" si="65">N31/N$33</f>
        <v>#DIV/0!</v>
      </c>
      <c r="P31">
        <f>SUMIFS(Tabla_Registro_de_movimientos_app.accdb[Importe_Gasto],Tabla_Registro_de_movimientos_app.accdb[Sucursal],Sucursal!P$5,Tabla_Registro_de_movimientos_app.accdb[Detalle de movimiento],Sucursal!$A31,Tabla_Registro_de_movimientos_app.accdb[Fecha],"&gt;"&amp;Sucursal!$B$4,Tabla_Registro_de_movimientos_app.accdb[Fecha],"&lt;="&amp;Sucursal!$C$4)</f>
        <v>0</v>
      </c>
      <c r="Q31" s="194" t="e">
        <f t="shared" ref="Q31" si="66">P31/P$33</f>
        <v>#DIV/0!</v>
      </c>
      <c r="R31">
        <f>SUMIFS(Tabla_Registro_de_movimientos_app.accdb[Importe_Gasto],Tabla_Registro_de_movimientos_app.accdb[Sucursal],Sucursal!R$5,Tabla_Registro_de_movimientos_app.accdb[Detalle de movimiento],Sucursal!$A31,Tabla_Registro_de_movimientos_app.accdb[Fecha],"&gt;"&amp;Sucursal!$B$4,Tabla_Registro_de_movimientos_app.accdb[Fecha],"&lt;="&amp;Sucursal!$C$4)</f>
        <v>0</v>
      </c>
      <c r="S31" s="194" t="e">
        <f t="shared" ref="S31" si="67">R31/R$33</f>
        <v>#DIV/0!</v>
      </c>
      <c r="T31">
        <f>SUMIFS(Tabla_Registro_de_movimientos_app.accdb[Importe_Gasto],Tabla_Registro_de_movimientos_app.accdb[Sucursal],Sucursal!T$5,Tabla_Registro_de_movimientos_app.accdb[Detalle de movimiento],Sucursal!$A31,Tabla_Registro_de_movimientos_app.accdb[Fecha],"&gt;"&amp;Sucursal!$B$4,Tabla_Registro_de_movimientos_app.accdb[Fecha],"&lt;="&amp;Sucursal!$C$4)</f>
        <v>0</v>
      </c>
      <c r="U31" s="194" t="e">
        <f t="shared" ref="U31" si="68">T31/T$33</f>
        <v>#DIV/0!</v>
      </c>
      <c r="V31">
        <f>SUMIFS(Tabla_Registro_de_movimientos_app.accdb[Importe_Gasto],Tabla_Registro_de_movimientos_app.accdb[Sucursal],Sucursal!V$5,Tabla_Registro_de_movimientos_app.accdb[Detalle de movimiento],Sucursal!$A31,Tabla_Registro_de_movimientos_app.accdb[Fecha],"&gt;"&amp;Sucursal!$B$4,Tabla_Registro_de_movimientos_app.accdb[Fecha],"&lt;="&amp;Sucursal!$C$4)</f>
        <v>0</v>
      </c>
      <c r="W31" s="194" t="e">
        <f t="shared" ref="W31" si="69">V31/V$33</f>
        <v>#DIV/0!</v>
      </c>
      <c r="X31">
        <f>SUMIFS(Tabla_Registro_de_movimientos_app.accdb[Importe_Gasto],Tabla_Registro_de_movimientos_app.accdb[Sucursal],Sucursal!X$5,Tabla_Registro_de_movimientos_app.accdb[Detalle de movimiento],Sucursal!$A31,Tabla_Registro_de_movimientos_app.accdb[Fecha],"&gt;"&amp;Sucursal!$B$4,Tabla_Registro_de_movimientos_app.accdb[Fecha],"&lt;="&amp;Sucursal!$C$4)</f>
        <v>0</v>
      </c>
      <c r="Y31" s="194" t="e">
        <f t="shared" ref="Y31" si="70">X31/X$33</f>
        <v>#DIV/0!</v>
      </c>
      <c r="Z31">
        <f>SUMIFS(Tabla_Registro_de_movimientos_app.accdb[Importe_Gasto],Tabla_Registro_de_movimientos_app.accdb[Sucursal],Sucursal!Z$5,Tabla_Registro_de_movimientos_app.accdb[Detalle de movimiento],Sucursal!$A31,Tabla_Registro_de_movimientos_app.accdb[Fecha],"&gt;"&amp;Sucursal!$B$4,Tabla_Registro_de_movimientos_app.accdb[Fecha],"&lt;="&amp;Sucursal!$C$4)</f>
        <v>0</v>
      </c>
      <c r="AA31" s="194" t="e">
        <f t="shared" ref="AA31" si="71">Z31/Z$33</f>
        <v>#DIV/0!</v>
      </c>
      <c r="AB31">
        <f>SUMIFS(Tabla_Registro_de_movimientos_app.accdb[Importe_Gasto],Tabla_Registro_de_movimientos_app.accdb[Sucursal],Sucursal!AB$5,Tabla_Registro_de_movimientos_app.accdb[Detalle de movimiento],Sucursal!$A31,Tabla_Registro_de_movimientos_app.accdb[Fecha],"&gt;"&amp;Sucursal!$B$4,Tabla_Registro_de_movimientos_app.accdb[Fecha],"&lt;="&amp;Sucursal!$C$4)</f>
        <v>0</v>
      </c>
      <c r="AC31" s="194" t="e">
        <f t="shared" si="56"/>
        <v>#DIV/0!</v>
      </c>
      <c r="AD31">
        <f>SUMIFS(Tabla_Registro_de_movimientos_app.accdb[Importe_Gasto],Tabla_Registro_de_movimientos_app.accdb[Sucursal],Sucursal!AD$5,Tabla_Registro_de_movimientos_app.accdb[Detalle de movimiento],Sucursal!$A31,Tabla_Registro_de_movimientos_app.accdb[Fecha],"&gt;"&amp;Sucursal!$B$4,Tabla_Registro_de_movimientos_app.accdb[Fecha],"&lt;="&amp;Sucursal!$C$4)</f>
        <v>0</v>
      </c>
      <c r="AE31" s="194" t="e">
        <f t="shared" si="57"/>
        <v>#DIV/0!</v>
      </c>
      <c r="AF31">
        <f>SUMIFS(Tabla_Registro_de_movimientos_app.accdb[Importe_Gasto],Tabla_Registro_de_movimientos_app.accdb[Sucursal],Sucursal!AF$5,Tabla_Registro_de_movimientos_app.accdb[Detalle de movimiento],Sucursal!$A31,Tabla_Registro_de_movimientos_app.accdb[Fecha],"&gt;"&amp;Sucursal!$B$4,Tabla_Registro_de_movimientos_app.accdb[Fecha],"&lt;="&amp;Sucursal!$C$4)</f>
        <v>0</v>
      </c>
      <c r="AG31" s="194" t="e">
        <f t="shared" si="58"/>
        <v>#DIV/0!</v>
      </c>
      <c r="AH31">
        <f>SUMIFS(Tabla_Registro_de_movimientos_app.accdb[Importe_Gasto],Tabla_Registro_de_movimientos_app.accdb[Sucursal],Sucursal!AH$5,Tabla_Registro_de_movimientos_app.accdb[Detalle de movimiento],Sucursal!$A31,Tabla_Registro_de_movimientos_app.accdb[Fecha],"&gt;"&amp;Sucursal!$B$4,Tabla_Registro_de_movimientos_app.accdb[Fecha],"&lt;="&amp;Sucursal!$C$4)</f>
        <v>0</v>
      </c>
      <c r="AI31" s="194" t="e">
        <f t="shared" si="59"/>
        <v>#DIV/0!</v>
      </c>
      <c r="AJ31">
        <f>SUMIFS(Tabla_Registro_de_movimientos_app.accdb[Importe_Gasto],Tabla_Registro_de_movimientos_app.accdb[Sucursal],Sucursal!AJ$5,Tabla_Registro_de_movimientos_app.accdb[Detalle de movimiento],Sucursal!$A31,Tabla_Registro_de_movimientos_app.accdb[Fecha],"&gt;"&amp;Sucursal!$B$4,Tabla_Registro_de_movimientos_app.accdb[Fecha],"&lt;="&amp;Sucursal!$C$4)</f>
        <v>0</v>
      </c>
      <c r="AK31" s="194" t="e">
        <f t="shared" si="60"/>
        <v>#DIV/0!</v>
      </c>
      <c r="AM31" s="188">
        <f t="shared" si="61"/>
        <v>0</v>
      </c>
      <c r="AN31" s="189" t="e">
        <f t="shared" si="62"/>
        <v>#DIV/0!</v>
      </c>
    </row>
    <row r="32" spans="1:40" x14ac:dyDescent="0.25">
      <c r="A32" t="s">
        <v>121</v>
      </c>
      <c r="B32">
        <f>SUMIFS(Tabla_Registro_de_movimientos_app.accdb[Importe_Gasto],Tabla_Registro_de_movimientos_app.accdb[Sucursal],Sucursal!$B$5,Tabla_Registro_de_movimientos_app.accdb[Detalle de movimiento],Sucursal!A32,Tabla_Registro_de_movimientos_app.accdb[Fecha],"&gt;"&amp;Sucursal!$B$4,Tabla_Registro_de_movimientos_app.accdb[Fecha],"&lt;="&amp;Sucursal!$C$4)</f>
        <v>0</v>
      </c>
      <c r="C32" s="187" t="e">
        <f t="shared" si="44"/>
        <v>#DIV/0!</v>
      </c>
      <c r="D32">
        <f>SUMIFS(Tabla_Registro_de_movimientos_app.accdb[Importe_Gasto],Tabla_Registro_de_movimientos_app.accdb[Sucursal],Sucursal!D$5,Tabla_Registro_de_movimientos_app.accdb[Detalle de movimiento],Sucursal!$A32,Tabla_Registro_de_movimientos_app.accdb[Fecha],"&gt;"&amp;Sucursal!$B$4,Tabla_Registro_de_movimientos_app.accdb[Fecha],"&lt;="&amp;Sucursal!$C$4)</f>
        <v>0</v>
      </c>
      <c r="E32" s="194" t="e">
        <f t="shared" si="45"/>
        <v>#DIV/0!</v>
      </c>
      <c r="F32">
        <f>SUMIFS(Tabla_Registro_de_movimientos_app.accdb[Importe_Gasto],Tabla_Registro_de_movimientos_app.accdb[Sucursal],Sucursal!F$5,Tabla_Registro_de_movimientos_app.accdb[Detalle de movimiento],Sucursal!$A32,Tabla_Registro_de_movimientos_app.accdb[Fecha],"&gt;"&amp;Sucursal!$B$4,Tabla_Registro_de_movimientos_app.accdb[Fecha],"&lt;="&amp;Sucursal!$C$4)</f>
        <v>0</v>
      </c>
      <c r="G32" s="194" t="e">
        <f t="shared" si="46"/>
        <v>#DIV/0!</v>
      </c>
      <c r="H32">
        <f>SUMIFS(Tabla_Registro_de_movimientos_app.accdb[Importe_Gasto],Tabla_Registro_de_movimientos_app.accdb[Sucursal],Sucursal!H$5,Tabla_Registro_de_movimientos_app.accdb[Detalle de movimiento],Sucursal!$A32,Tabla_Registro_de_movimientos_app.accdb[Fecha],"&gt;"&amp;Sucursal!$B$4,Tabla_Registro_de_movimientos_app.accdb[Fecha],"&lt;="&amp;Sucursal!$C$4)</f>
        <v>0</v>
      </c>
      <c r="I32" s="194" t="e">
        <f t="shared" si="46"/>
        <v>#DIV/0!</v>
      </c>
      <c r="J32">
        <f>SUMIFS(Tabla_Registro_de_movimientos_app.accdb[Importe_Gasto],Tabla_Registro_de_movimientos_app.accdb[Sucursal],Sucursal!J$5,Tabla_Registro_de_movimientos_app.accdb[Detalle de movimiento],Sucursal!$A32,Tabla_Registro_de_movimientos_app.accdb[Fecha],"&gt;"&amp;Sucursal!$B$4,Tabla_Registro_de_movimientos_app.accdb[Fecha],"&lt;="&amp;Sucursal!$C$4)</f>
        <v>0</v>
      </c>
      <c r="K32" s="194" t="e">
        <f t="shared" ref="K32" si="72">J32/J$33</f>
        <v>#DIV/0!</v>
      </c>
      <c r="L32">
        <f>SUMIFS(Tabla_Registro_de_movimientos_app.accdb[Importe_Gasto],Tabla_Registro_de_movimientos_app.accdb[Sucursal],Sucursal!L$5,Tabla_Registro_de_movimientos_app.accdb[Detalle de movimiento],Sucursal!$A32,Tabla_Registro_de_movimientos_app.accdb[Fecha],"&gt;"&amp;Sucursal!$B$4,Tabla_Registro_de_movimientos_app.accdb[Fecha],"&lt;="&amp;Sucursal!$C$4)</f>
        <v>0</v>
      </c>
      <c r="M32" s="194" t="e">
        <f t="shared" ref="M32" si="73">L32/L$33</f>
        <v>#DIV/0!</v>
      </c>
      <c r="N32">
        <f>SUMIFS(Tabla_Registro_de_movimientos_app.accdb[Importe_Gasto],Tabla_Registro_de_movimientos_app.accdb[Sucursal],Sucursal!N$5,Tabla_Registro_de_movimientos_app.accdb[Detalle de movimiento],Sucursal!$A32,Tabla_Registro_de_movimientos_app.accdb[Fecha],"&gt;"&amp;Sucursal!$B$4,Tabla_Registro_de_movimientos_app.accdb[Fecha],"&lt;="&amp;Sucursal!$C$4)</f>
        <v>0</v>
      </c>
      <c r="O32" s="194" t="e">
        <f t="shared" ref="O32" si="74">N32/N$33</f>
        <v>#DIV/0!</v>
      </c>
      <c r="P32">
        <f>SUMIFS(Tabla_Registro_de_movimientos_app.accdb[Importe_Gasto],Tabla_Registro_de_movimientos_app.accdb[Sucursal],Sucursal!P$5,Tabla_Registro_de_movimientos_app.accdb[Detalle de movimiento],Sucursal!$A32,Tabla_Registro_de_movimientos_app.accdb[Fecha],"&gt;"&amp;Sucursal!$B$4,Tabla_Registro_de_movimientos_app.accdb[Fecha],"&lt;="&amp;Sucursal!$C$4)</f>
        <v>0</v>
      </c>
      <c r="Q32" s="194" t="e">
        <f t="shared" ref="Q32" si="75">P32/P$33</f>
        <v>#DIV/0!</v>
      </c>
      <c r="R32">
        <f>SUMIFS(Tabla_Registro_de_movimientos_app.accdb[Importe_Gasto],Tabla_Registro_de_movimientos_app.accdb[Sucursal],Sucursal!R$5,Tabla_Registro_de_movimientos_app.accdb[Detalle de movimiento],Sucursal!$A32,Tabla_Registro_de_movimientos_app.accdb[Fecha],"&gt;"&amp;Sucursal!$B$4,Tabla_Registro_de_movimientos_app.accdb[Fecha],"&lt;="&amp;Sucursal!$C$4)</f>
        <v>0</v>
      </c>
      <c r="S32" s="194" t="e">
        <f t="shared" ref="S32" si="76">R32/R$33</f>
        <v>#DIV/0!</v>
      </c>
      <c r="T32">
        <f>SUMIFS(Tabla_Registro_de_movimientos_app.accdb[Importe_Gasto],Tabla_Registro_de_movimientos_app.accdb[Sucursal],Sucursal!T$5,Tabla_Registro_de_movimientos_app.accdb[Detalle de movimiento],Sucursal!$A32,Tabla_Registro_de_movimientos_app.accdb[Fecha],"&gt;"&amp;Sucursal!$B$4,Tabla_Registro_de_movimientos_app.accdb[Fecha],"&lt;="&amp;Sucursal!$C$4)</f>
        <v>0</v>
      </c>
      <c r="U32" s="194" t="e">
        <f t="shared" ref="U32" si="77">T32/T$33</f>
        <v>#DIV/0!</v>
      </c>
      <c r="V32">
        <f>SUMIFS(Tabla_Registro_de_movimientos_app.accdb[Importe_Gasto],Tabla_Registro_de_movimientos_app.accdb[Sucursal],Sucursal!V$5,Tabla_Registro_de_movimientos_app.accdb[Detalle de movimiento],Sucursal!$A32,Tabla_Registro_de_movimientos_app.accdb[Fecha],"&gt;"&amp;Sucursal!$B$4,Tabla_Registro_de_movimientos_app.accdb[Fecha],"&lt;="&amp;Sucursal!$C$4)</f>
        <v>0</v>
      </c>
      <c r="W32" s="194" t="e">
        <f t="shared" ref="W32" si="78">V32/V$33</f>
        <v>#DIV/0!</v>
      </c>
      <c r="X32">
        <f>SUMIFS(Tabla_Registro_de_movimientos_app.accdb[Importe_Gasto],Tabla_Registro_de_movimientos_app.accdb[Sucursal],Sucursal!X$5,Tabla_Registro_de_movimientos_app.accdb[Detalle de movimiento],Sucursal!$A32,Tabla_Registro_de_movimientos_app.accdb[Fecha],"&gt;"&amp;Sucursal!$B$4,Tabla_Registro_de_movimientos_app.accdb[Fecha],"&lt;="&amp;Sucursal!$C$4)</f>
        <v>0</v>
      </c>
      <c r="Y32" s="194" t="e">
        <f t="shared" ref="Y32" si="79">X32/X$33</f>
        <v>#DIV/0!</v>
      </c>
      <c r="Z32">
        <f>SUMIFS(Tabla_Registro_de_movimientos_app.accdb[Importe_Gasto],Tabla_Registro_de_movimientos_app.accdb[Sucursal],Sucursal!Z$5,Tabla_Registro_de_movimientos_app.accdb[Detalle de movimiento],Sucursal!$A32,Tabla_Registro_de_movimientos_app.accdb[Fecha],"&gt;"&amp;Sucursal!$B$4,Tabla_Registro_de_movimientos_app.accdb[Fecha],"&lt;="&amp;Sucursal!$C$4)</f>
        <v>0</v>
      </c>
      <c r="AA32" s="194" t="e">
        <f t="shared" ref="AA32" si="80">Z32/Z$33</f>
        <v>#DIV/0!</v>
      </c>
      <c r="AB32">
        <f>SUMIFS(Tabla_Registro_de_movimientos_app.accdb[Importe_Gasto],Tabla_Registro_de_movimientos_app.accdb[Sucursal],Sucursal!AB$5,Tabla_Registro_de_movimientos_app.accdb[Detalle de movimiento],Sucursal!$A32,Tabla_Registro_de_movimientos_app.accdb[Fecha],"&gt;"&amp;Sucursal!$B$4,Tabla_Registro_de_movimientos_app.accdb[Fecha],"&lt;="&amp;Sucursal!$C$4)</f>
        <v>0</v>
      </c>
      <c r="AC32" s="194" t="e">
        <f t="shared" si="56"/>
        <v>#DIV/0!</v>
      </c>
      <c r="AD32">
        <f>SUMIFS(Tabla_Registro_de_movimientos_app.accdb[Importe_Gasto],Tabla_Registro_de_movimientos_app.accdb[Sucursal],Sucursal!AD$5,Tabla_Registro_de_movimientos_app.accdb[Detalle de movimiento],Sucursal!$A32,Tabla_Registro_de_movimientos_app.accdb[Fecha],"&gt;"&amp;Sucursal!$B$4,Tabla_Registro_de_movimientos_app.accdb[Fecha],"&lt;="&amp;Sucursal!$C$4)</f>
        <v>0</v>
      </c>
      <c r="AE32" s="194" t="e">
        <f t="shared" si="57"/>
        <v>#DIV/0!</v>
      </c>
      <c r="AF32">
        <f>SUMIFS(Tabla_Registro_de_movimientos_app.accdb[Importe_Gasto],Tabla_Registro_de_movimientos_app.accdb[Sucursal],Sucursal!AF$5,Tabla_Registro_de_movimientos_app.accdb[Detalle de movimiento],Sucursal!$A32,Tabla_Registro_de_movimientos_app.accdb[Fecha],"&gt;"&amp;Sucursal!$B$4,Tabla_Registro_de_movimientos_app.accdb[Fecha],"&lt;="&amp;Sucursal!$C$4)</f>
        <v>0</v>
      </c>
      <c r="AG32" s="194" t="e">
        <f t="shared" si="58"/>
        <v>#DIV/0!</v>
      </c>
      <c r="AH32">
        <f>SUMIFS(Tabla_Registro_de_movimientos_app.accdb[Importe_Gasto],Tabla_Registro_de_movimientos_app.accdb[Sucursal],Sucursal!AH$5,Tabla_Registro_de_movimientos_app.accdb[Detalle de movimiento],Sucursal!$A32,Tabla_Registro_de_movimientos_app.accdb[Fecha],"&gt;"&amp;Sucursal!$B$4,Tabla_Registro_de_movimientos_app.accdb[Fecha],"&lt;="&amp;Sucursal!$C$4)</f>
        <v>0</v>
      </c>
      <c r="AI32" s="194" t="e">
        <f t="shared" si="59"/>
        <v>#DIV/0!</v>
      </c>
      <c r="AJ32">
        <f>SUMIFS(Tabla_Registro_de_movimientos_app.accdb[Importe_Gasto],Tabla_Registro_de_movimientos_app.accdb[Sucursal],Sucursal!AJ$5,Tabla_Registro_de_movimientos_app.accdb[Detalle de movimiento],Sucursal!$A32,Tabla_Registro_de_movimientos_app.accdb[Fecha],"&gt;"&amp;Sucursal!$B$4,Tabla_Registro_de_movimientos_app.accdb[Fecha],"&lt;="&amp;Sucursal!$C$4)</f>
        <v>0</v>
      </c>
      <c r="AK32" s="194" t="e">
        <f t="shared" si="60"/>
        <v>#DIV/0!</v>
      </c>
      <c r="AM32" s="188">
        <f t="shared" si="61"/>
        <v>0</v>
      </c>
      <c r="AN32" s="189" t="e">
        <f t="shared" si="62"/>
        <v>#DIV/0!</v>
      </c>
    </row>
    <row r="33" spans="1:40" ht="15.75" thickBot="1" x14ac:dyDescent="0.3">
      <c r="A33" s="8" t="s">
        <v>61</v>
      </c>
      <c r="B33" s="8">
        <f>SUM(B29:B32)</f>
        <v>0</v>
      </c>
      <c r="C33" s="8"/>
      <c r="D33" s="8">
        <f>SUM(D29:D32)</f>
        <v>0</v>
      </c>
      <c r="E33" s="8"/>
      <c r="F33" s="8">
        <f>SUM(F29:F32)</f>
        <v>0</v>
      </c>
      <c r="G33" s="8"/>
      <c r="H33" s="8">
        <f>SUM(H29:H32)</f>
        <v>0</v>
      </c>
      <c r="I33" s="8"/>
      <c r="J33" s="8">
        <f>SUM(J29:J32)</f>
        <v>0</v>
      </c>
      <c r="K33" s="8"/>
      <c r="L33" s="8">
        <f>SUM(L29:L32)</f>
        <v>0</v>
      </c>
      <c r="M33" s="8"/>
      <c r="N33" s="8">
        <f>SUM(N29:N32)</f>
        <v>0</v>
      </c>
      <c r="O33" s="8"/>
      <c r="P33" s="8">
        <f>SUM(P29:P32)</f>
        <v>0</v>
      </c>
      <c r="Q33" s="8"/>
      <c r="R33" s="8">
        <f>SUM(R29:R32)</f>
        <v>0</v>
      </c>
      <c r="S33" s="8"/>
      <c r="T33" s="8">
        <f>SUM(T29:T32)</f>
        <v>0</v>
      </c>
      <c r="U33" s="8"/>
      <c r="V33" s="8">
        <f>SUM(V29:V32)</f>
        <v>0</v>
      </c>
      <c r="W33" s="8"/>
      <c r="X33" s="8">
        <f>SUM(X29:X32)</f>
        <v>0</v>
      </c>
      <c r="Y33" s="8"/>
      <c r="Z33" s="8">
        <f>SUM(Z29:Z32)</f>
        <v>0</v>
      </c>
      <c r="AA33" s="8"/>
      <c r="AB33" s="8">
        <f>SUM(AB29:AB32)</f>
        <v>0</v>
      </c>
      <c r="AC33" s="8"/>
      <c r="AD33" s="8">
        <f>SUM(AD29:AD32)</f>
        <v>0</v>
      </c>
      <c r="AE33" s="8"/>
      <c r="AF33" s="8">
        <f>SUM(AF29:AF32)</f>
        <v>0</v>
      </c>
      <c r="AG33" s="8"/>
      <c r="AH33" s="8">
        <f>SUM(AH29:AH32)</f>
        <v>0</v>
      </c>
      <c r="AI33" s="8"/>
      <c r="AJ33" s="8">
        <f>SUM(AJ29:AJ32)</f>
        <v>0</v>
      </c>
      <c r="AK33" s="8"/>
      <c r="AL33" s="8"/>
      <c r="AM33" s="192">
        <f>SUM(AM29:AM32)</f>
        <v>0</v>
      </c>
      <c r="AN33" s="198">
        <f>AM33/AM13</f>
        <v>0</v>
      </c>
    </row>
    <row r="34" spans="1:40" ht="15.75" thickTop="1" x14ac:dyDescent="0.25"/>
    <row r="35" spans="1:40" x14ac:dyDescent="0.25">
      <c r="A35" s="7" t="s">
        <v>39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40" x14ac:dyDescent="0.25">
      <c r="A36" t="s">
        <v>30</v>
      </c>
      <c r="B36" s="214">
        <f>SUMIFS(Tabla_Registro_de_movimientos_app.accdb[Importe_Gasto],Tabla_Registro_de_movimientos_app.accdb[Sucursal],Sucursal!$B$5,Tabla_Registro_de_movimientos_app.accdb[Detalle de movimiento],Sucursal!A36,Tabla_Registro_de_movimientos_app.accdb[Fecha],"&gt;"&amp;Sucursal!$B$4,Tabla_Registro_de_movimientos_app.accdb[Fecha],"&lt;="&amp;Sucursal!$C$4)</f>
        <v>0</v>
      </c>
      <c r="C36" s="187" t="e">
        <f>B36/$B$53</f>
        <v>#DIV/0!</v>
      </c>
      <c r="D36">
        <f>SUMIFS(Tabla_Registro_de_movimientos_app.accdb[Importe_Gasto],Tabla_Registro_de_movimientos_app.accdb[Sucursal],Sucursal!D$5,Tabla_Registro_de_movimientos_app.accdb[Detalle de movimiento],Sucursal!$A36,Tabla_Registro_de_movimientos_app.accdb[Fecha],"&gt;"&amp;Sucursal!$B$4,Tabla_Registro_de_movimientos_app.accdb[Fecha],"&lt;="&amp;Sucursal!$C$4)</f>
        <v>0</v>
      </c>
      <c r="E36" s="187" t="e">
        <f>D36/D$53</f>
        <v>#DIV/0!</v>
      </c>
      <c r="F36" s="214">
        <f>SUMIFS(Tabla_Registro_de_movimientos_app.accdb[Importe_Gasto],Tabla_Registro_de_movimientos_app.accdb[Sucursal],Sucursal!F$5,Tabla_Registro_de_movimientos_app.accdb[Detalle de movimiento],Sucursal!$A36,Tabla_Registro_de_movimientos_app.accdb[Fecha],"&gt;"&amp;Sucursal!$B$4,Tabla_Registro_de_movimientos_app.accdb[Fecha],"&lt;="&amp;Sucursal!$C$4)</f>
        <v>0</v>
      </c>
      <c r="G36" s="187" t="e">
        <f>F36/F$53</f>
        <v>#DIV/0!</v>
      </c>
      <c r="H36">
        <f>SUMIFS(Tabla_Registro_de_movimientos_app.accdb[Importe_Gasto],Tabla_Registro_de_movimientos_app.accdb[Sucursal],Sucursal!H$5,Tabla_Registro_de_movimientos_app.accdb[Detalle de movimiento],Sucursal!$A36,Tabla_Registro_de_movimientos_app.accdb[Fecha],"&gt;"&amp;Sucursal!$B$4,Tabla_Registro_de_movimientos_app.accdb[Fecha],"&lt;="&amp;Sucursal!$C$4)</f>
        <v>0</v>
      </c>
      <c r="I36" s="187" t="e">
        <f>H36/H$53</f>
        <v>#DIV/0!</v>
      </c>
      <c r="J36">
        <f>SUMIFS(Tabla_Registro_de_movimientos_app.accdb[Importe_Gasto],Tabla_Registro_de_movimientos_app.accdb[Sucursal],Sucursal!J$5,Tabla_Registro_de_movimientos_app.accdb[Detalle de movimiento],Sucursal!$A36,Tabla_Registro_de_movimientos_app.accdb[Fecha],"&gt;"&amp;Sucursal!$B$4,Tabla_Registro_de_movimientos_app.accdb[Fecha],"&lt;="&amp;Sucursal!$C$4)</f>
        <v>0</v>
      </c>
      <c r="K36" s="187" t="e">
        <f>J36/J$53</f>
        <v>#DIV/0!</v>
      </c>
      <c r="L36" s="214">
        <f>SUMIFS(Tabla_Registro_de_movimientos_app.accdb[Importe_Gasto],Tabla_Registro_de_movimientos_app.accdb[Sucursal],Sucursal!L$5,Tabla_Registro_de_movimientos_app.accdb[Detalle de movimiento],Sucursal!$A36,Tabla_Registro_de_movimientos_app.accdb[Fecha],"&gt;"&amp;Sucursal!$B$4,Tabla_Registro_de_movimientos_app.accdb[Fecha],"&lt;="&amp;Sucursal!$C$4)</f>
        <v>0</v>
      </c>
      <c r="M36" s="187" t="e">
        <f>L36/L$53</f>
        <v>#DIV/0!</v>
      </c>
      <c r="N36">
        <f>SUMIFS(Tabla_Registro_de_movimientos_app.accdb[Importe_Gasto],Tabla_Registro_de_movimientos_app.accdb[Sucursal],Sucursal!N$5,Tabla_Registro_de_movimientos_app.accdb[Detalle de movimiento],Sucursal!$A36,Tabla_Registro_de_movimientos_app.accdb[Fecha],"&gt;"&amp;Sucursal!$B$4,Tabla_Registro_de_movimientos_app.accdb[Fecha],"&lt;="&amp;Sucursal!$C$4)</f>
        <v>0</v>
      </c>
      <c r="O36" s="187" t="e">
        <f>N36/N$53</f>
        <v>#DIV/0!</v>
      </c>
      <c r="P36">
        <f>SUMIFS(Tabla_Registro_de_movimientos_app.accdb[Importe_Gasto],Tabla_Registro_de_movimientos_app.accdb[Sucursal],Sucursal!P$5,Tabla_Registro_de_movimientos_app.accdb[Detalle de movimiento],Sucursal!$A36,Tabla_Registro_de_movimientos_app.accdb[Fecha],"&gt;"&amp;Sucursal!$B$4,Tabla_Registro_de_movimientos_app.accdb[Fecha],"&lt;="&amp;Sucursal!$C$4)</f>
        <v>0</v>
      </c>
      <c r="Q36" s="187" t="e">
        <f>P36/P$53</f>
        <v>#DIV/0!</v>
      </c>
      <c r="R36" s="214">
        <f>SUMIFS(Tabla_Registro_de_movimientos_app.accdb[Importe_Gasto],Tabla_Registro_de_movimientos_app.accdb[Sucursal],Sucursal!R$5,Tabla_Registro_de_movimientos_app.accdb[Detalle de movimiento],Sucursal!$A36,Tabla_Registro_de_movimientos_app.accdb[Fecha],"&gt;"&amp;Sucursal!$B$4,Tabla_Registro_de_movimientos_app.accdb[Fecha],"&lt;="&amp;Sucursal!$C$4)</f>
        <v>0</v>
      </c>
      <c r="S36" s="187" t="e">
        <f>R36/R$53</f>
        <v>#DIV/0!</v>
      </c>
      <c r="T36" s="214">
        <f>SUMIFS(Tabla_Registro_de_movimientos_app.accdb[Importe_Gasto],Tabla_Registro_de_movimientos_app.accdb[Sucursal],Sucursal!T$5,Tabla_Registro_de_movimientos_app.accdb[Detalle de movimiento],Sucursal!$A36,Tabla_Registro_de_movimientos_app.accdb[Fecha],"&gt;"&amp;Sucursal!$B$4,Tabla_Registro_de_movimientos_app.accdb[Fecha],"&lt;="&amp;Sucursal!$C$4)</f>
        <v>0</v>
      </c>
      <c r="U36" s="187" t="e">
        <f>T36/T$53</f>
        <v>#DIV/0!</v>
      </c>
      <c r="V36">
        <f>SUMIFS(Tabla_Registro_de_movimientos_app.accdb[Importe_Gasto],Tabla_Registro_de_movimientos_app.accdb[Sucursal],Sucursal!V$5,Tabla_Registro_de_movimientos_app.accdb[Detalle de movimiento],Sucursal!$A36,Tabla_Registro_de_movimientos_app.accdb[Fecha],"&gt;"&amp;Sucursal!$B$4,Tabla_Registro_de_movimientos_app.accdb[Fecha],"&lt;="&amp;Sucursal!$C$4)</f>
        <v>0</v>
      </c>
      <c r="W36" s="187" t="e">
        <f>V36/V$53</f>
        <v>#DIV/0!</v>
      </c>
      <c r="X36" s="214">
        <f>SUMIFS(Tabla_Registro_de_movimientos_app.accdb[Importe_Gasto],Tabla_Registro_de_movimientos_app.accdb[Sucursal],Sucursal!X$5,Tabla_Registro_de_movimientos_app.accdb[Detalle de movimiento],Sucursal!$A36,Tabla_Registro_de_movimientos_app.accdb[Fecha],"&gt;"&amp;Sucursal!$B$4,Tabla_Registro_de_movimientos_app.accdb[Fecha],"&lt;="&amp;Sucursal!$C$4)</f>
        <v>0</v>
      </c>
      <c r="Y36" s="187" t="e">
        <f>X36/X$53</f>
        <v>#DIV/0!</v>
      </c>
      <c r="Z36" s="214">
        <f>SUMIFS(Tabla_Registro_de_movimientos_app.accdb[Importe_Gasto],Tabla_Registro_de_movimientos_app.accdb[Sucursal],Sucursal!Z$5,Tabla_Registro_de_movimientos_app.accdb[Detalle de movimiento],Sucursal!$A36,Tabla_Registro_de_movimientos_app.accdb[Fecha],"&gt;"&amp;Sucursal!$B$4,Tabla_Registro_de_movimientos_app.accdb[Fecha],"&lt;="&amp;Sucursal!$C$4)</f>
        <v>0</v>
      </c>
      <c r="AA36" s="187" t="e">
        <f>Z36/Z$53</f>
        <v>#DIV/0!</v>
      </c>
      <c r="AB36" s="214">
        <f>SUMIFS(Tabla_Registro_de_movimientos_app.accdb[Importe_Gasto],Tabla_Registro_de_movimientos_app.accdb[Sucursal],Sucursal!AB$5,Tabla_Registro_de_movimientos_app.accdb[Detalle de movimiento],Sucursal!$A36,Tabla_Registro_de_movimientos_app.accdb[Fecha],"&gt;"&amp;Sucursal!$B$4,Tabla_Registro_de_movimientos_app.accdb[Fecha],"&lt;="&amp;Sucursal!$C$4)</f>
        <v>0</v>
      </c>
      <c r="AC36" s="187" t="e">
        <f>AB36/AB$53</f>
        <v>#DIV/0!</v>
      </c>
      <c r="AD36" s="214">
        <f>SUMIFS(Tabla_Registro_de_movimientos_app.accdb[Importe_Gasto],Tabla_Registro_de_movimientos_app.accdb[Sucursal],Sucursal!AD$5,Tabla_Registro_de_movimientos_app.accdb[Detalle de movimiento],Sucursal!$A36,Tabla_Registro_de_movimientos_app.accdb[Fecha],"&gt;"&amp;Sucursal!$B$4,Tabla_Registro_de_movimientos_app.accdb[Fecha],"&lt;="&amp;Sucursal!$C$4)</f>
        <v>0</v>
      </c>
      <c r="AE36" s="187" t="e">
        <f>AD36/AD$53</f>
        <v>#DIV/0!</v>
      </c>
      <c r="AF36" s="214">
        <f>SUMIFS(Tabla_Registro_de_movimientos_app.accdb[Importe_Gasto],Tabla_Registro_de_movimientos_app.accdb[Sucursal],Sucursal!AF$5,Tabla_Registro_de_movimientos_app.accdb[Detalle de movimiento],Sucursal!$A36,Tabla_Registro_de_movimientos_app.accdb[Fecha],"&gt;"&amp;Sucursal!$B$4,Tabla_Registro_de_movimientos_app.accdb[Fecha],"&lt;="&amp;Sucursal!$C$4)</f>
        <v>0</v>
      </c>
      <c r="AG36" s="187" t="e">
        <f>AF36/AF$53</f>
        <v>#DIV/0!</v>
      </c>
      <c r="AH36" s="207">
        <f>SUMIFS(Tabla_Registro_de_movimientos_app.accdb[Importe_Gasto],Tabla_Registro_de_movimientos_app.accdb[Sucursal],Sucursal!AH$5,Tabla_Registro_de_movimientos_app.accdb[Detalle de movimiento],Sucursal!$A36,Tabla_Registro_de_movimientos_app.accdb[Fecha],"&gt;"&amp;Sucursal!$B$4,Tabla_Registro_de_movimientos_app.accdb[Fecha],"&lt;="&amp;Sucursal!$C$4)</f>
        <v>0</v>
      </c>
      <c r="AI36" s="200" t="e">
        <f>AH36/AH$53</f>
        <v>#DIV/0!</v>
      </c>
      <c r="AJ36" s="199">
        <f>SUMIFS(Tabla_Registro_de_movimientos_app.accdb[Importe_Gasto],Tabla_Registro_de_movimientos_app.accdb[Sucursal],Sucursal!AJ$5,Tabla_Registro_de_movimientos_app.accdb[Detalle de movimiento],Sucursal!$A36,Tabla_Registro_de_movimientos_app.accdb[Fecha],"&gt;"&amp;Sucursal!$B$4,Tabla_Registro_de_movimientos_app.accdb[Fecha],"&lt;="&amp;Sucursal!$C$4)</f>
        <v>0</v>
      </c>
      <c r="AK36" s="200" t="e">
        <f>AJ36/AJ$53</f>
        <v>#DIV/0!</v>
      </c>
      <c r="AM36" s="188">
        <f>SUM(B36,D36,F36,H36,J36,L36,N36,P36,R36,T36,V36,X36,Z36,AB36,AD36,AF36,AH36,AJ36)</f>
        <v>0</v>
      </c>
      <c r="AN36" s="189" t="e">
        <f>AM36/$AM$53</f>
        <v>#DIV/0!</v>
      </c>
    </row>
    <row r="37" spans="1:40" x14ac:dyDescent="0.25">
      <c r="A37" t="s">
        <v>129</v>
      </c>
      <c r="B37">
        <f>SUMIFS(Tabla_Registro_de_movimientos_app.accdb[Importe_Gasto],Tabla_Registro_de_movimientos_app.accdb[Sucursal],Sucursal!$B$5,Tabla_Registro_de_movimientos_app.accdb[Detalle de movimiento],Sucursal!A37,Tabla_Registro_de_movimientos_app.accdb[Fecha],"&gt;"&amp;Sucursal!$B$4,Tabla_Registro_de_movimientos_app.accdb[Fecha],"&lt;="&amp;Sucursal!$C$4)</f>
        <v>0</v>
      </c>
      <c r="C37" s="187" t="e">
        <f t="shared" ref="C37:C52" si="81">B37/$B$53</f>
        <v>#DIV/0!</v>
      </c>
      <c r="D37">
        <f>SUMIFS(Tabla_Registro_de_movimientos_app.accdb[Importe_Gasto],Tabla_Registro_de_movimientos_app.accdb[Sucursal],Sucursal!D$5,Tabla_Registro_de_movimientos_app.accdb[Detalle de movimiento],Sucursal!$A37,Tabla_Registro_de_movimientos_app.accdb[Fecha],"&gt;"&amp;Sucursal!$B$4,Tabla_Registro_de_movimientos_app.accdb[Fecha],"&lt;="&amp;Sucursal!$C$4)</f>
        <v>0</v>
      </c>
      <c r="E37" s="187" t="e">
        <f t="shared" ref="E37:E52" si="82">D37/D$53</f>
        <v>#DIV/0!</v>
      </c>
      <c r="F37" s="115">
        <f>SUMIFS(Tabla_Registro_de_movimientos_app.accdb[Importe_Gasto],Tabla_Registro_de_movimientos_app.accdb[Sucursal],Sucursal!F$5,Tabla_Registro_de_movimientos_app.accdb[Detalle de movimiento],Sucursal!$A37,Tabla_Registro_de_movimientos_app.accdb[Fecha],"&gt;"&amp;Sucursal!$B$4,Tabla_Registro_de_movimientos_app.accdb[Fecha],"&lt;="&amp;Sucursal!$C$4)</f>
        <v>0</v>
      </c>
      <c r="G37" s="187" t="e">
        <f t="shared" ref="G37" si="83">F37/F$53</f>
        <v>#DIV/0!</v>
      </c>
      <c r="H37">
        <f>SUMIFS(Tabla_Registro_de_movimientos_app.accdb[Importe_Gasto],Tabla_Registro_de_movimientos_app.accdb[Sucursal],Sucursal!H$5,Tabla_Registro_de_movimientos_app.accdb[Detalle de movimiento],Sucursal!$A37,Tabla_Registro_de_movimientos_app.accdb[Fecha],"&gt;"&amp;Sucursal!$B$4,Tabla_Registro_de_movimientos_app.accdb[Fecha],"&lt;="&amp;Sucursal!$C$4)</f>
        <v>0</v>
      </c>
      <c r="I37" s="187" t="e">
        <f t="shared" ref="I37:I52" si="84">H37/H$53</f>
        <v>#DIV/0!</v>
      </c>
      <c r="J37">
        <f>SUMIFS(Tabla_Registro_de_movimientos_app.accdb[Importe_Gasto],Tabla_Registro_de_movimientos_app.accdb[Sucursal],Sucursal!J$5,Tabla_Registro_de_movimientos_app.accdb[Detalle de movimiento],Sucursal!$A37,Tabla_Registro_de_movimientos_app.accdb[Fecha],"&gt;"&amp;Sucursal!$B$4,Tabla_Registro_de_movimientos_app.accdb[Fecha],"&lt;="&amp;Sucursal!$C$4)</f>
        <v>0</v>
      </c>
      <c r="K37" s="187" t="e">
        <f t="shared" ref="K37:K52" si="85">J37/J$53</f>
        <v>#DIV/0!</v>
      </c>
      <c r="L37">
        <f>SUMIFS(Tabla_Registro_de_movimientos_app.accdb[Importe_Gasto],Tabla_Registro_de_movimientos_app.accdb[Sucursal],Sucursal!L$5,Tabla_Registro_de_movimientos_app.accdb[Detalle de movimiento],Sucursal!$A37,Tabla_Registro_de_movimientos_app.accdb[Fecha],"&gt;"&amp;Sucursal!$B$4,Tabla_Registro_de_movimientos_app.accdb[Fecha],"&lt;="&amp;Sucursal!$C$4)</f>
        <v>0</v>
      </c>
      <c r="M37" s="187" t="e">
        <f t="shared" ref="M37:M52" si="86">L37/L$53</f>
        <v>#DIV/0!</v>
      </c>
      <c r="N37">
        <f>SUMIFS(Tabla_Registro_de_movimientos_app.accdb[Importe_Gasto],Tabla_Registro_de_movimientos_app.accdb[Sucursal],Sucursal!N$5,Tabla_Registro_de_movimientos_app.accdb[Detalle de movimiento],Sucursal!$A37,Tabla_Registro_de_movimientos_app.accdb[Fecha],"&gt;"&amp;Sucursal!$B$4,Tabla_Registro_de_movimientos_app.accdb[Fecha],"&lt;="&amp;Sucursal!$C$4)</f>
        <v>0</v>
      </c>
      <c r="O37" s="187" t="e">
        <f t="shared" ref="O37:O52" si="87">N37/N$53</f>
        <v>#DIV/0!</v>
      </c>
      <c r="P37">
        <f>SUMIFS(Tabla_Registro_de_movimientos_app.accdb[Importe_Gasto],Tabla_Registro_de_movimientos_app.accdb[Sucursal],Sucursal!P$5,Tabla_Registro_de_movimientos_app.accdb[Detalle de movimiento],Sucursal!$A37,Tabla_Registro_de_movimientos_app.accdb[Fecha],"&gt;"&amp;Sucursal!$B$4,Tabla_Registro_de_movimientos_app.accdb[Fecha],"&lt;="&amp;Sucursal!$C$4)</f>
        <v>0</v>
      </c>
      <c r="Q37" s="187" t="e">
        <f t="shared" ref="Q37:Q52" si="88">P37/P$53</f>
        <v>#DIV/0!</v>
      </c>
      <c r="R37" s="115">
        <f>SUMIFS(Tabla_Registro_de_movimientos_app.accdb[Importe_Gasto],Tabla_Registro_de_movimientos_app.accdb[Sucursal],Sucursal!R$5,Tabla_Registro_de_movimientos_app.accdb[Detalle de movimiento],Sucursal!$A37,Tabla_Registro_de_movimientos_app.accdb[Fecha],"&gt;"&amp;Sucursal!$B$4,Tabla_Registro_de_movimientos_app.accdb[Fecha],"&lt;="&amp;Sucursal!$C$4)</f>
        <v>0</v>
      </c>
      <c r="S37" s="187" t="e">
        <f t="shared" ref="S37:S52" si="89">R37/R$53</f>
        <v>#DIV/0!</v>
      </c>
      <c r="T37" s="115">
        <f>SUMIFS(Tabla_Registro_de_movimientos_app.accdb[Importe_Gasto],Tabla_Registro_de_movimientos_app.accdb[Sucursal],Sucursal!T$5,Tabla_Registro_de_movimientos_app.accdb[Detalle de movimiento],Sucursal!$A37,Tabla_Registro_de_movimientos_app.accdb[Fecha],"&gt;"&amp;Sucursal!$B$4,Tabla_Registro_de_movimientos_app.accdb[Fecha],"&lt;="&amp;Sucursal!$C$4)</f>
        <v>0</v>
      </c>
      <c r="U37" s="187" t="e">
        <f t="shared" ref="U37:U52" si="90">T37/T$53</f>
        <v>#DIV/0!</v>
      </c>
      <c r="V37">
        <f>SUMIFS(Tabla_Registro_de_movimientos_app.accdb[Importe_Gasto],Tabla_Registro_de_movimientos_app.accdb[Sucursal],Sucursal!V$5,Tabla_Registro_de_movimientos_app.accdb[Detalle de movimiento],Sucursal!$A37,Tabla_Registro_de_movimientos_app.accdb[Fecha],"&gt;"&amp;Sucursal!$B$4,Tabla_Registro_de_movimientos_app.accdb[Fecha],"&lt;="&amp;Sucursal!$C$4)</f>
        <v>0</v>
      </c>
      <c r="W37" s="187" t="e">
        <f t="shared" ref="W37:W52" si="91">V37/V$53</f>
        <v>#DIV/0!</v>
      </c>
      <c r="X37" s="115">
        <f>SUMIFS(Tabla_Registro_de_movimientos_app.accdb[Importe_Gasto],Tabla_Registro_de_movimientos_app.accdb[Sucursal],Sucursal!X$5,Tabla_Registro_de_movimientos_app.accdb[Detalle de movimiento],Sucursal!$A37,Tabla_Registro_de_movimientos_app.accdb[Fecha],"&gt;"&amp;Sucursal!$B$4,Tabla_Registro_de_movimientos_app.accdb[Fecha],"&lt;="&amp;Sucursal!$C$4)</f>
        <v>0</v>
      </c>
      <c r="Y37" s="187" t="e">
        <f t="shared" ref="Y37:Y52" si="92">X37/X$53</f>
        <v>#DIV/0!</v>
      </c>
      <c r="Z37" s="115">
        <f>SUMIFS(Tabla_Registro_de_movimientos_app.accdb[Importe_Gasto],Tabla_Registro_de_movimientos_app.accdb[Sucursal],Sucursal!Z$5,Tabla_Registro_de_movimientos_app.accdb[Detalle de movimiento],Sucursal!$A37,Tabla_Registro_de_movimientos_app.accdb[Fecha],"&gt;"&amp;Sucursal!$B$4,Tabla_Registro_de_movimientos_app.accdb[Fecha],"&lt;="&amp;Sucursal!$C$4)</f>
        <v>0</v>
      </c>
      <c r="AA37" s="187" t="e">
        <f t="shared" ref="AA37:AA52" si="93">Z37/Z$53</f>
        <v>#DIV/0!</v>
      </c>
      <c r="AB37" s="115">
        <f>SUMIFS(Tabla_Registro_de_movimientos_app.accdb[Importe_Gasto],Tabla_Registro_de_movimientos_app.accdb[Sucursal],Sucursal!AB$5,Tabla_Registro_de_movimientos_app.accdb[Detalle de movimiento],Sucursal!$A37,Tabla_Registro_de_movimientos_app.accdb[Fecha],"&gt;"&amp;Sucursal!$B$4,Tabla_Registro_de_movimientos_app.accdb[Fecha],"&lt;="&amp;Sucursal!$C$4)</f>
        <v>0</v>
      </c>
      <c r="AC37" s="187" t="e">
        <f t="shared" ref="AC37:AC52" si="94">AB37/AB$53</f>
        <v>#DIV/0!</v>
      </c>
      <c r="AD37" s="115">
        <f>SUMIFS(Tabla_Registro_de_movimientos_app.accdb[Importe_Gasto],Tabla_Registro_de_movimientos_app.accdb[Sucursal],Sucursal!AD$5,Tabla_Registro_de_movimientos_app.accdb[Detalle de movimiento],Sucursal!$A37,Tabla_Registro_de_movimientos_app.accdb[Fecha],"&gt;"&amp;Sucursal!$B$4,Tabla_Registro_de_movimientos_app.accdb[Fecha],"&lt;="&amp;Sucursal!$C$4)</f>
        <v>0</v>
      </c>
      <c r="AE37" s="187" t="e">
        <f t="shared" ref="AE37:AE52" si="95">AD37/AD$53</f>
        <v>#DIV/0!</v>
      </c>
      <c r="AF37" s="115">
        <f>SUMIFS(Tabla_Registro_de_movimientos_app.accdb[Importe_Gasto],Tabla_Registro_de_movimientos_app.accdb[Sucursal],Sucursal!AF$5,Tabla_Registro_de_movimientos_app.accdb[Detalle de movimiento],Sucursal!$A37,Tabla_Registro_de_movimientos_app.accdb[Fecha],"&gt;"&amp;Sucursal!$B$4,Tabla_Registro_de_movimientos_app.accdb[Fecha],"&lt;="&amp;Sucursal!$C$4)</f>
        <v>0</v>
      </c>
      <c r="AG37" s="187" t="e">
        <f t="shared" ref="AG37:AG52" si="96">AF37/AF$53</f>
        <v>#DIV/0!</v>
      </c>
      <c r="AH37" s="115">
        <f>SUMIFS(Tabla_Registro_de_movimientos_app.accdb[Importe_Gasto],Tabla_Registro_de_movimientos_app.accdb[Sucursal],Sucursal!AH$5,Tabla_Registro_de_movimientos_app.accdb[Detalle de movimiento],Sucursal!$A37,Tabla_Registro_de_movimientos_app.accdb[Fecha],"&gt;"&amp;Sucursal!$B$4,Tabla_Registro_de_movimientos_app.accdb[Fecha],"&lt;="&amp;Sucursal!$C$4)</f>
        <v>0</v>
      </c>
      <c r="AI37" s="187" t="e">
        <f t="shared" ref="AI37:AI52" si="97">AH37/AH$53</f>
        <v>#DIV/0!</v>
      </c>
      <c r="AJ37">
        <f>SUMIFS(Tabla_Registro_de_movimientos_app.accdb[Importe_Gasto],Tabla_Registro_de_movimientos_app.accdb[Sucursal],Sucursal!AJ$5,Tabla_Registro_de_movimientos_app.accdb[Detalle de movimiento],Sucursal!$A37,Tabla_Registro_de_movimientos_app.accdb[Fecha],"&gt;"&amp;Sucursal!$B$4,Tabla_Registro_de_movimientos_app.accdb[Fecha],"&lt;="&amp;Sucursal!$C$4)</f>
        <v>0</v>
      </c>
      <c r="AK37" s="187" t="e">
        <f t="shared" ref="AK37:AK52" si="98">AJ37/AJ$53</f>
        <v>#DIV/0!</v>
      </c>
      <c r="AM37" s="188">
        <f t="shared" ref="AM37:AM52" si="99">SUM(B37,D37,F37,H37,J37,L37,N37,P37,R37,T37,V37,X37,Z37,AB37,AD37,AF37,AH37,AJ37)</f>
        <v>0</v>
      </c>
      <c r="AN37" s="189" t="e">
        <f t="shared" ref="AN37:AN52" si="100">AM37/$AM$53</f>
        <v>#DIV/0!</v>
      </c>
    </row>
    <row r="38" spans="1:40" x14ac:dyDescent="0.25">
      <c r="A38" t="s">
        <v>40</v>
      </c>
      <c r="B38">
        <f>SUMIFS(Tabla_Registro_de_movimientos_app.accdb[Importe_Gasto],Tabla_Registro_de_movimientos_app.accdb[Sucursal],Sucursal!$B$5,Tabla_Registro_de_movimientos_app.accdb[Detalle de movimiento],Sucursal!A38,Tabla_Registro_de_movimientos_app.accdb[Fecha],"&gt;"&amp;Sucursal!$B$4,Tabla_Registro_de_movimientos_app.accdb[Fecha],"&lt;="&amp;Sucursal!$C$4)</f>
        <v>0</v>
      </c>
      <c r="C38" s="187" t="e">
        <f t="shared" si="81"/>
        <v>#DIV/0!</v>
      </c>
      <c r="D38">
        <f>SUMIFS(Tabla_Registro_de_movimientos_app.accdb[Importe_Gasto],Tabla_Registro_de_movimientos_app.accdb[Sucursal],Sucursal!D$5,Tabla_Registro_de_movimientos_app.accdb[Detalle de movimiento],Sucursal!$A38,Tabla_Registro_de_movimientos_app.accdb[Fecha],"&gt;"&amp;Sucursal!$B$4,Tabla_Registro_de_movimientos_app.accdb[Fecha],"&lt;="&amp;Sucursal!$C$4)</f>
        <v>0</v>
      </c>
      <c r="E38" s="187" t="e">
        <f t="shared" si="82"/>
        <v>#DIV/0!</v>
      </c>
      <c r="F38" s="115">
        <f>SUMIFS(Tabla_Registro_de_movimientos_app.accdb[Importe_Gasto],Tabla_Registro_de_movimientos_app.accdb[Sucursal],Sucursal!F$5,Tabla_Registro_de_movimientos_app.accdb[Detalle de movimiento],Sucursal!$A38,Tabla_Registro_de_movimientos_app.accdb[Fecha],"&gt;"&amp;Sucursal!$B$4,Tabla_Registro_de_movimientos_app.accdb[Fecha],"&lt;="&amp;Sucursal!$C$4)</f>
        <v>0</v>
      </c>
      <c r="G38" s="187" t="e">
        <f t="shared" ref="G38" si="101">F38/F$53</f>
        <v>#DIV/0!</v>
      </c>
      <c r="H38">
        <f>SUMIFS(Tabla_Registro_de_movimientos_app.accdb[Importe_Gasto],Tabla_Registro_de_movimientos_app.accdb[Sucursal],Sucursal!H$5,Tabla_Registro_de_movimientos_app.accdb[Detalle de movimiento],Sucursal!$A38,Tabla_Registro_de_movimientos_app.accdb[Fecha],"&gt;"&amp;Sucursal!$B$4,Tabla_Registro_de_movimientos_app.accdb[Fecha],"&lt;="&amp;Sucursal!$C$4)</f>
        <v>0</v>
      </c>
      <c r="I38" s="187" t="e">
        <f t="shared" si="84"/>
        <v>#DIV/0!</v>
      </c>
      <c r="J38">
        <f>SUMIFS(Tabla_Registro_de_movimientos_app.accdb[Importe_Gasto],Tabla_Registro_de_movimientos_app.accdb[Sucursal],Sucursal!J$5,Tabla_Registro_de_movimientos_app.accdb[Detalle de movimiento],Sucursal!$A38,Tabla_Registro_de_movimientos_app.accdb[Fecha],"&gt;"&amp;Sucursal!$B$4,Tabla_Registro_de_movimientos_app.accdb[Fecha],"&lt;="&amp;Sucursal!$C$4)</f>
        <v>0</v>
      </c>
      <c r="K38" s="187" t="e">
        <f t="shared" si="85"/>
        <v>#DIV/0!</v>
      </c>
      <c r="L38">
        <f>SUMIFS(Tabla_Registro_de_movimientos_app.accdb[Importe_Gasto],Tabla_Registro_de_movimientos_app.accdb[Sucursal],Sucursal!L$5,Tabla_Registro_de_movimientos_app.accdb[Detalle de movimiento],Sucursal!$A38,Tabla_Registro_de_movimientos_app.accdb[Fecha],"&gt;"&amp;Sucursal!$B$4,Tabla_Registro_de_movimientos_app.accdb[Fecha],"&lt;="&amp;Sucursal!$C$4)</f>
        <v>0</v>
      </c>
      <c r="M38" s="187" t="e">
        <f t="shared" si="86"/>
        <v>#DIV/0!</v>
      </c>
      <c r="N38">
        <f>SUMIFS(Tabla_Registro_de_movimientos_app.accdb[Importe_Gasto],Tabla_Registro_de_movimientos_app.accdb[Sucursal],Sucursal!N$5,Tabla_Registro_de_movimientos_app.accdb[Detalle de movimiento],Sucursal!$A38,Tabla_Registro_de_movimientos_app.accdb[Fecha],"&gt;"&amp;Sucursal!$B$4,Tabla_Registro_de_movimientos_app.accdb[Fecha],"&lt;="&amp;Sucursal!$C$4)</f>
        <v>0</v>
      </c>
      <c r="O38" s="187" t="e">
        <f t="shared" si="87"/>
        <v>#DIV/0!</v>
      </c>
      <c r="P38">
        <f>SUMIFS(Tabla_Registro_de_movimientos_app.accdb[Importe_Gasto],Tabla_Registro_de_movimientos_app.accdb[Sucursal],Sucursal!P$5,Tabla_Registro_de_movimientos_app.accdb[Detalle de movimiento],Sucursal!$A38,Tabla_Registro_de_movimientos_app.accdb[Fecha],"&gt;"&amp;Sucursal!$B$4,Tabla_Registro_de_movimientos_app.accdb[Fecha],"&lt;="&amp;Sucursal!$C$4)</f>
        <v>0</v>
      </c>
      <c r="Q38" s="187" t="e">
        <f t="shared" si="88"/>
        <v>#DIV/0!</v>
      </c>
      <c r="R38" s="115">
        <f>SUMIFS(Tabla_Registro_de_movimientos_app.accdb[Importe_Gasto],Tabla_Registro_de_movimientos_app.accdb[Sucursal],Sucursal!R$5,Tabla_Registro_de_movimientos_app.accdb[Detalle de movimiento],Sucursal!$A38,Tabla_Registro_de_movimientos_app.accdb[Fecha],"&gt;"&amp;Sucursal!$B$4,Tabla_Registro_de_movimientos_app.accdb[Fecha],"&lt;="&amp;Sucursal!$C$4)</f>
        <v>0</v>
      </c>
      <c r="S38" s="187" t="e">
        <f t="shared" si="89"/>
        <v>#DIV/0!</v>
      </c>
      <c r="T38" s="115">
        <f>SUMIFS(Tabla_Registro_de_movimientos_app.accdb[Importe_Gasto],Tabla_Registro_de_movimientos_app.accdb[Sucursal],Sucursal!T$5,Tabla_Registro_de_movimientos_app.accdb[Detalle de movimiento],Sucursal!$A38,Tabla_Registro_de_movimientos_app.accdb[Fecha],"&gt;"&amp;Sucursal!$B$4,Tabla_Registro_de_movimientos_app.accdb[Fecha],"&lt;="&amp;Sucursal!$C$4)</f>
        <v>0</v>
      </c>
      <c r="U38" s="187" t="e">
        <f t="shared" si="90"/>
        <v>#DIV/0!</v>
      </c>
      <c r="V38">
        <f>SUMIFS(Tabla_Registro_de_movimientos_app.accdb[Importe_Gasto],Tabla_Registro_de_movimientos_app.accdb[Sucursal],Sucursal!V$5,Tabla_Registro_de_movimientos_app.accdb[Detalle de movimiento],Sucursal!$A38,Tabla_Registro_de_movimientos_app.accdb[Fecha],"&gt;"&amp;Sucursal!$B$4,Tabla_Registro_de_movimientos_app.accdb[Fecha],"&lt;="&amp;Sucursal!$C$4)</f>
        <v>0</v>
      </c>
      <c r="W38" s="187" t="e">
        <f t="shared" si="91"/>
        <v>#DIV/0!</v>
      </c>
      <c r="X38" s="115">
        <f>SUMIFS(Tabla_Registro_de_movimientos_app.accdb[Importe_Gasto],Tabla_Registro_de_movimientos_app.accdb[Sucursal],Sucursal!X$5,Tabla_Registro_de_movimientos_app.accdb[Detalle de movimiento],Sucursal!$A38,Tabla_Registro_de_movimientos_app.accdb[Fecha],"&gt;"&amp;Sucursal!$B$4,Tabla_Registro_de_movimientos_app.accdb[Fecha],"&lt;="&amp;Sucursal!$C$4)</f>
        <v>0</v>
      </c>
      <c r="Y38" s="187" t="e">
        <f t="shared" si="92"/>
        <v>#DIV/0!</v>
      </c>
      <c r="Z38" s="115">
        <f>SUMIFS(Tabla_Registro_de_movimientos_app.accdb[Importe_Gasto],Tabla_Registro_de_movimientos_app.accdb[Sucursal],Sucursal!Z$5,Tabla_Registro_de_movimientos_app.accdb[Detalle de movimiento],Sucursal!$A38,Tabla_Registro_de_movimientos_app.accdb[Fecha],"&gt;"&amp;Sucursal!$B$4,Tabla_Registro_de_movimientos_app.accdb[Fecha],"&lt;="&amp;Sucursal!$C$4)</f>
        <v>0</v>
      </c>
      <c r="AA38" s="187" t="e">
        <f t="shared" si="93"/>
        <v>#DIV/0!</v>
      </c>
      <c r="AB38" s="115">
        <f>SUMIFS(Tabla_Registro_de_movimientos_app.accdb[Importe_Gasto],Tabla_Registro_de_movimientos_app.accdb[Sucursal],Sucursal!AB$5,Tabla_Registro_de_movimientos_app.accdb[Detalle de movimiento],Sucursal!$A38,Tabla_Registro_de_movimientos_app.accdb[Fecha],"&gt;"&amp;Sucursal!$B$4,Tabla_Registro_de_movimientos_app.accdb[Fecha],"&lt;="&amp;Sucursal!$C$4)</f>
        <v>0</v>
      </c>
      <c r="AC38" s="187" t="e">
        <f t="shared" si="94"/>
        <v>#DIV/0!</v>
      </c>
      <c r="AD38" s="115">
        <f>SUMIFS(Tabla_Registro_de_movimientos_app.accdb[Importe_Gasto],Tabla_Registro_de_movimientos_app.accdb[Sucursal],Sucursal!AD$5,Tabla_Registro_de_movimientos_app.accdb[Detalle de movimiento],Sucursal!$A38,Tabla_Registro_de_movimientos_app.accdb[Fecha],"&gt;"&amp;Sucursal!$B$4,Tabla_Registro_de_movimientos_app.accdb[Fecha],"&lt;="&amp;Sucursal!$C$4)</f>
        <v>0</v>
      </c>
      <c r="AE38" s="187" t="e">
        <f t="shared" si="95"/>
        <v>#DIV/0!</v>
      </c>
      <c r="AF38" s="115">
        <f>SUMIFS(Tabla_Registro_de_movimientos_app.accdb[Importe_Gasto],Tabla_Registro_de_movimientos_app.accdb[Sucursal],Sucursal!AF$5,Tabla_Registro_de_movimientos_app.accdb[Detalle de movimiento],Sucursal!$A38,Tabla_Registro_de_movimientos_app.accdb[Fecha],"&gt;"&amp;Sucursal!$B$4,Tabla_Registro_de_movimientos_app.accdb[Fecha],"&lt;="&amp;Sucursal!$C$4)</f>
        <v>0</v>
      </c>
      <c r="AG38" s="187" t="e">
        <f t="shared" si="96"/>
        <v>#DIV/0!</v>
      </c>
      <c r="AH38" s="115">
        <f>SUMIFS(Tabla_Registro_de_movimientos_app.accdb[Importe_Gasto],Tabla_Registro_de_movimientos_app.accdb[Sucursal],Sucursal!AH$5,Tabla_Registro_de_movimientos_app.accdb[Detalle de movimiento],Sucursal!$A38,Tabla_Registro_de_movimientos_app.accdb[Fecha],"&gt;"&amp;Sucursal!$B$4,Tabla_Registro_de_movimientos_app.accdb[Fecha],"&lt;="&amp;Sucursal!$C$4)</f>
        <v>0</v>
      </c>
      <c r="AI38" s="187" t="e">
        <f t="shared" si="97"/>
        <v>#DIV/0!</v>
      </c>
      <c r="AJ38">
        <f>SUMIFS(Tabla_Registro_de_movimientos_app.accdb[Importe_Gasto],Tabla_Registro_de_movimientos_app.accdb[Sucursal],Sucursal!AJ$5,Tabla_Registro_de_movimientos_app.accdb[Detalle de movimiento],Sucursal!$A38,Tabla_Registro_de_movimientos_app.accdb[Fecha],"&gt;"&amp;Sucursal!$B$4,Tabla_Registro_de_movimientos_app.accdb[Fecha],"&lt;="&amp;Sucursal!$C$4)</f>
        <v>0</v>
      </c>
      <c r="AK38" s="187" t="e">
        <f t="shared" si="98"/>
        <v>#DIV/0!</v>
      </c>
      <c r="AM38" s="188">
        <f t="shared" si="99"/>
        <v>0</v>
      </c>
      <c r="AN38" s="189" t="e">
        <f t="shared" si="100"/>
        <v>#DIV/0!</v>
      </c>
    </row>
    <row r="39" spans="1:40" x14ac:dyDescent="0.25">
      <c r="A39" t="s">
        <v>26</v>
      </c>
      <c r="B39" s="115">
        <f>SUMIFS(Tabla_Registro_de_movimientos_app.accdb[Importe_Gasto],Tabla_Registro_de_movimientos_app.accdb[Sucursal],Sucursal!$B$5,Tabla_Registro_de_movimientos_app.accdb[Detalle de movimiento],Sucursal!A39,Tabla_Registro_de_movimientos_app.accdb[Fecha],"&gt;"&amp;Sucursal!$B$4,Tabla_Registro_de_movimientos_app.accdb[Fecha],"&lt;="&amp;Sucursal!$C$4)</f>
        <v>0</v>
      </c>
      <c r="C39" s="187" t="e">
        <f t="shared" si="81"/>
        <v>#DIV/0!</v>
      </c>
      <c r="D39" s="115">
        <f>SUMIFS(Tabla_Registro_de_movimientos_app.accdb[Importe_Gasto],Tabla_Registro_de_movimientos_app.accdb[Sucursal],Sucursal!D$5,Tabla_Registro_de_movimientos_app.accdb[Detalle de movimiento],Sucursal!$A39,Tabla_Registro_de_movimientos_app.accdb[Fecha],"&gt;"&amp;Sucursal!$B$4,Tabla_Registro_de_movimientos_app.accdb[Fecha],"&lt;="&amp;Sucursal!$C$4)</f>
        <v>0</v>
      </c>
      <c r="E39" s="187" t="e">
        <f t="shared" si="82"/>
        <v>#DIV/0!</v>
      </c>
      <c r="F39" s="115">
        <f>SUMIFS(Tabla_Registro_de_movimientos_app.accdb[Importe_Gasto],Tabla_Registro_de_movimientos_app.accdb[Sucursal],Sucursal!F$5,Tabla_Registro_de_movimientos_app.accdb[Detalle de movimiento],Sucursal!$A39,Tabla_Registro_de_movimientos_app.accdb[Fecha],"&gt;"&amp;Sucursal!$B$4,Tabla_Registro_de_movimientos_app.accdb[Fecha],"&lt;="&amp;Sucursal!$C$4)</f>
        <v>0</v>
      </c>
      <c r="G39" s="187" t="e">
        <f t="shared" ref="G39" si="102">F39/F$53</f>
        <v>#DIV/0!</v>
      </c>
      <c r="H39" s="115">
        <f>SUMIFS(Tabla_Registro_de_movimientos_app.accdb[Importe_Gasto],Tabla_Registro_de_movimientos_app.accdb[Sucursal],Sucursal!H$5,Tabla_Registro_de_movimientos_app.accdb[Detalle de movimiento],Sucursal!$A39,Tabla_Registro_de_movimientos_app.accdb[Fecha],"&gt;"&amp;Sucursal!$B$4,Tabla_Registro_de_movimientos_app.accdb[Fecha],"&lt;="&amp;Sucursal!$C$4)</f>
        <v>0</v>
      </c>
      <c r="I39" s="187" t="e">
        <f t="shared" si="84"/>
        <v>#DIV/0!</v>
      </c>
      <c r="J39">
        <f>SUMIFS(Tabla_Registro_de_movimientos_app.accdb[Importe_Gasto],Tabla_Registro_de_movimientos_app.accdb[Sucursal],Sucursal!J$5,Tabla_Registro_de_movimientos_app.accdb[Detalle de movimiento],Sucursal!$A39,Tabla_Registro_de_movimientos_app.accdb[Fecha],"&gt;"&amp;Sucursal!$B$4,Tabla_Registro_de_movimientos_app.accdb[Fecha],"&lt;="&amp;Sucursal!$C$4)</f>
        <v>0</v>
      </c>
      <c r="K39" s="187" t="e">
        <f t="shared" si="85"/>
        <v>#DIV/0!</v>
      </c>
      <c r="L39" s="115">
        <f>SUMIFS(Tabla_Registro_de_movimientos_app.accdb[Importe_Gasto],Tabla_Registro_de_movimientos_app.accdb[Sucursal],Sucursal!L$5,Tabla_Registro_de_movimientos_app.accdb[Detalle de movimiento],Sucursal!$A39,Tabla_Registro_de_movimientos_app.accdb[Fecha],"&gt;"&amp;Sucursal!$B$4,Tabla_Registro_de_movimientos_app.accdb[Fecha],"&lt;="&amp;Sucursal!$C$4)</f>
        <v>0</v>
      </c>
      <c r="M39" s="187" t="e">
        <f t="shared" si="86"/>
        <v>#DIV/0!</v>
      </c>
      <c r="N39" s="115">
        <f>SUMIFS(Tabla_Registro_de_movimientos_app.accdb[Importe_Gasto],Tabla_Registro_de_movimientos_app.accdb[Sucursal],Sucursal!N$5,Tabla_Registro_de_movimientos_app.accdb[Detalle de movimiento],Sucursal!$A39,Tabla_Registro_de_movimientos_app.accdb[Fecha],"&gt;"&amp;Sucursal!$B$4,Tabla_Registro_de_movimientos_app.accdb[Fecha],"&lt;="&amp;Sucursal!$C$4)</f>
        <v>0</v>
      </c>
      <c r="O39" s="187" t="e">
        <f t="shared" si="87"/>
        <v>#DIV/0!</v>
      </c>
      <c r="P39" s="115">
        <f>SUMIFS(Tabla_Registro_de_movimientos_app.accdb[Importe_Gasto],Tabla_Registro_de_movimientos_app.accdb[Sucursal],Sucursal!P$5,Tabla_Registro_de_movimientos_app.accdb[Detalle de movimiento],Sucursal!$A39,Tabla_Registro_de_movimientos_app.accdb[Fecha],"&gt;"&amp;Sucursal!$B$4,Tabla_Registro_de_movimientos_app.accdb[Fecha],"&lt;="&amp;Sucursal!$C$4)</f>
        <v>0</v>
      </c>
      <c r="Q39" s="187" t="e">
        <f t="shared" si="88"/>
        <v>#DIV/0!</v>
      </c>
      <c r="R39" s="115">
        <f>SUMIFS(Tabla_Registro_de_movimientos_app.accdb[Importe_Gasto],Tabla_Registro_de_movimientos_app.accdb[Sucursal],Sucursal!R$5,Tabla_Registro_de_movimientos_app.accdb[Detalle de movimiento],Sucursal!$A39,Tabla_Registro_de_movimientos_app.accdb[Fecha],"&gt;"&amp;Sucursal!$B$4,Tabla_Registro_de_movimientos_app.accdb[Fecha],"&lt;="&amp;Sucursal!$C$4)</f>
        <v>0</v>
      </c>
      <c r="S39" s="187" t="e">
        <f t="shared" si="89"/>
        <v>#DIV/0!</v>
      </c>
      <c r="T39" s="115">
        <f>SUMIFS(Tabla_Registro_de_movimientos_app.accdb[Importe_Gasto],Tabla_Registro_de_movimientos_app.accdb[Sucursal],Sucursal!T$5,Tabla_Registro_de_movimientos_app.accdb[Detalle de movimiento],Sucursal!$A39,Tabla_Registro_de_movimientos_app.accdb[Fecha],"&gt;"&amp;Sucursal!$B$4,Tabla_Registro_de_movimientos_app.accdb[Fecha],"&lt;="&amp;Sucursal!$C$4)</f>
        <v>0</v>
      </c>
      <c r="U39" s="187" t="e">
        <f t="shared" si="90"/>
        <v>#DIV/0!</v>
      </c>
      <c r="V39">
        <f>SUMIFS(Tabla_Registro_de_movimientos_app.accdb[Importe_Gasto],Tabla_Registro_de_movimientos_app.accdb[Sucursal],Sucursal!V$5,Tabla_Registro_de_movimientos_app.accdb[Detalle de movimiento],Sucursal!$A39,Tabla_Registro_de_movimientos_app.accdb[Fecha],"&gt;"&amp;Sucursal!$B$4,Tabla_Registro_de_movimientos_app.accdb[Fecha],"&lt;="&amp;Sucursal!$C$4)</f>
        <v>0</v>
      </c>
      <c r="W39" s="187" t="e">
        <f t="shared" si="91"/>
        <v>#DIV/0!</v>
      </c>
      <c r="X39" s="115">
        <f>SUMIFS(Tabla_Registro_de_movimientos_app.accdb[Importe_Gasto],Tabla_Registro_de_movimientos_app.accdb[Sucursal],Sucursal!X$5,Tabla_Registro_de_movimientos_app.accdb[Detalle de movimiento],Sucursal!$A39,Tabla_Registro_de_movimientos_app.accdb[Fecha],"&gt;"&amp;Sucursal!$B$4,Tabla_Registro_de_movimientos_app.accdb[Fecha],"&lt;="&amp;Sucursal!$C$4)</f>
        <v>0</v>
      </c>
      <c r="Y39" s="187" t="e">
        <f t="shared" si="92"/>
        <v>#DIV/0!</v>
      </c>
      <c r="Z39" s="115">
        <f>SUMIFS(Tabla_Registro_de_movimientos_app.accdb[Importe_Gasto],Tabla_Registro_de_movimientos_app.accdb[Sucursal],Sucursal!Z$5,Tabla_Registro_de_movimientos_app.accdb[Detalle de movimiento],Sucursal!$A39,Tabla_Registro_de_movimientos_app.accdb[Fecha],"&gt;"&amp;Sucursal!$B$4,Tabla_Registro_de_movimientos_app.accdb[Fecha],"&lt;="&amp;Sucursal!$C$4)</f>
        <v>0</v>
      </c>
      <c r="AA39" s="187" t="e">
        <f t="shared" si="93"/>
        <v>#DIV/0!</v>
      </c>
      <c r="AB39" s="115">
        <f>SUMIFS(Tabla_Registro_de_movimientos_app.accdb[Importe_Gasto],Tabla_Registro_de_movimientos_app.accdb[Sucursal],Sucursal!AB$5,Tabla_Registro_de_movimientos_app.accdb[Detalle de movimiento],Sucursal!$A39,Tabla_Registro_de_movimientos_app.accdb[Fecha],"&gt;"&amp;Sucursal!$B$4,Tabla_Registro_de_movimientos_app.accdb[Fecha],"&lt;="&amp;Sucursal!$C$4)</f>
        <v>0</v>
      </c>
      <c r="AC39" s="187" t="e">
        <f t="shared" si="94"/>
        <v>#DIV/0!</v>
      </c>
      <c r="AD39" s="115">
        <f>SUMIFS(Tabla_Registro_de_movimientos_app.accdb[Importe_Gasto],Tabla_Registro_de_movimientos_app.accdb[Sucursal],Sucursal!AD$5,Tabla_Registro_de_movimientos_app.accdb[Detalle de movimiento],Sucursal!$A39,Tabla_Registro_de_movimientos_app.accdb[Fecha],"&gt;"&amp;Sucursal!$B$4,Tabla_Registro_de_movimientos_app.accdb[Fecha],"&lt;="&amp;Sucursal!$C$4)</f>
        <v>0</v>
      </c>
      <c r="AE39" s="187" t="e">
        <f t="shared" si="95"/>
        <v>#DIV/0!</v>
      </c>
      <c r="AF39" s="115">
        <f>SUMIFS(Tabla_Registro_de_movimientos_app.accdb[Importe_Gasto],Tabla_Registro_de_movimientos_app.accdb[Sucursal],Sucursal!AF$5,Tabla_Registro_de_movimientos_app.accdb[Detalle de movimiento],Sucursal!$A39,Tabla_Registro_de_movimientos_app.accdb[Fecha],"&gt;"&amp;Sucursal!$B$4,Tabla_Registro_de_movimientos_app.accdb[Fecha],"&lt;="&amp;Sucursal!$C$4)</f>
        <v>0</v>
      </c>
      <c r="AG39" s="187" t="e">
        <f t="shared" si="96"/>
        <v>#DIV/0!</v>
      </c>
      <c r="AH39" s="115">
        <f>SUMIFS(Tabla_Registro_de_movimientos_app.accdb[Importe_Gasto],Tabla_Registro_de_movimientos_app.accdb[Sucursal],Sucursal!AH$5,Tabla_Registro_de_movimientos_app.accdb[Detalle de movimiento],Sucursal!$A39,Tabla_Registro_de_movimientos_app.accdb[Fecha],"&gt;"&amp;Sucursal!$B$4,Tabla_Registro_de_movimientos_app.accdb[Fecha],"&lt;="&amp;Sucursal!$C$4)</f>
        <v>0</v>
      </c>
      <c r="AI39" s="187" t="e">
        <f t="shared" si="97"/>
        <v>#DIV/0!</v>
      </c>
      <c r="AJ39">
        <f>SUMIFS(Tabla_Registro_de_movimientos_app.accdb[Importe_Gasto],Tabla_Registro_de_movimientos_app.accdb[Sucursal],Sucursal!AJ$5,Tabla_Registro_de_movimientos_app.accdb[Detalle de movimiento],Sucursal!$A39,Tabla_Registro_de_movimientos_app.accdb[Fecha],"&gt;"&amp;Sucursal!$B$4,Tabla_Registro_de_movimientos_app.accdb[Fecha],"&lt;="&amp;Sucursal!$C$4)</f>
        <v>0</v>
      </c>
      <c r="AK39" s="187" t="e">
        <f t="shared" si="98"/>
        <v>#DIV/0!</v>
      </c>
      <c r="AM39" s="188">
        <f t="shared" si="99"/>
        <v>0</v>
      </c>
      <c r="AN39" s="189" t="e">
        <f t="shared" si="100"/>
        <v>#DIV/0!</v>
      </c>
    </row>
    <row r="40" spans="1:40" x14ac:dyDescent="0.25">
      <c r="A40" t="s">
        <v>41</v>
      </c>
      <c r="B40" s="115">
        <f>SUMIFS(Tabla_Registro_de_movimientos_app.accdb[Importe_Gasto],Tabla_Registro_de_movimientos_app.accdb[Sucursal],Sucursal!$B$5,Tabla_Registro_de_movimientos_app.accdb[Detalle de movimiento],Sucursal!A40,Tabla_Registro_de_movimientos_app.accdb[Fecha],"&gt;"&amp;Sucursal!$B$4,Tabla_Registro_de_movimientos_app.accdb[Fecha],"&lt;="&amp;Sucursal!$C$4)</f>
        <v>0</v>
      </c>
      <c r="C40" s="187" t="e">
        <f t="shared" si="81"/>
        <v>#DIV/0!</v>
      </c>
      <c r="D40" s="115">
        <f>SUMIFS(Tabla_Registro_de_movimientos_app.accdb[Importe_Gasto],Tabla_Registro_de_movimientos_app.accdb[Sucursal],Sucursal!D$5,Tabla_Registro_de_movimientos_app.accdb[Detalle de movimiento],Sucursal!$A40,Tabla_Registro_de_movimientos_app.accdb[Fecha],"&gt;"&amp;Sucursal!$B$4,Tabla_Registro_de_movimientos_app.accdb[Fecha],"&lt;="&amp;Sucursal!$C$4)</f>
        <v>0</v>
      </c>
      <c r="E40" s="187" t="e">
        <f t="shared" si="82"/>
        <v>#DIV/0!</v>
      </c>
      <c r="F40" s="115">
        <f>SUMIFS(Tabla_Registro_de_movimientos_app.accdb[Importe_Gasto],Tabla_Registro_de_movimientos_app.accdb[Sucursal],Sucursal!F$5,Tabla_Registro_de_movimientos_app.accdb[Detalle de movimiento],Sucursal!$A40,Tabla_Registro_de_movimientos_app.accdb[Fecha],"&gt;"&amp;Sucursal!$B$4,Tabla_Registro_de_movimientos_app.accdb[Fecha],"&lt;="&amp;Sucursal!$C$4)</f>
        <v>0</v>
      </c>
      <c r="G40" s="187" t="e">
        <f t="shared" ref="G40" si="103">F40/F$53</f>
        <v>#DIV/0!</v>
      </c>
      <c r="H40" s="115">
        <f>SUMIFS(Tabla_Registro_de_movimientos_app.accdb[Importe_Gasto],Tabla_Registro_de_movimientos_app.accdb[Sucursal],Sucursal!H$5,Tabla_Registro_de_movimientos_app.accdb[Detalle de movimiento],Sucursal!$A40,Tabla_Registro_de_movimientos_app.accdb[Fecha],"&gt;"&amp;Sucursal!$B$4,Tabla_Registro_de_movimientos_app.accdb[Fecha],"&lt;="&amp;Sucursal!$C$4)</f>
        <v>0</v>
      </c>
      <c r="I40" s="187" t="e">
        <f t="shared" si="84"/>
        <v>#DIV/0!</v>
      </c>
      <c r="J40">
        <f>SUMIFS(Tabla_Registro_de_movimientos_app.accdb[Importe_Gasto],Tabla_Registro_de_movimientos_app.accdb[Sucursal],Sucursal!J$5,Tabla_Registro_de_movimientos_app.accdb[Detalle de movimiento],Sucursal!$A40,Tabla_Registro_de_movimientos_app.accdb[Fecha],"&gt;"&amp;Sucursal!$B$4,Tabla_Registro_de_movimientos_app.accdb[Fecha],"&lt;="&amp;Sucursal!$C$4)</f>
        <v>0</v>
      </c>
      <c r="K40" s="187" t="e">
        <f t="shared" si="85"/>
        <v>#DIV/0!</v>
      </c>
      <c r="L40" s="115">
        <f>SUMIFS(Tabla_Registro_de_movimientos_app.accdb[Importe_Gasto],Tabla_Registro_de_movimientos_app.accdb[Sucursal],Sucursal!L$5,Tabla_Registro_de_movimientos_app.accdb[Detalle de movimiento],Sucursal!$A40,Tabla_Registro_de_movimientos_app.accdb[Fecha],"&gt;"&amp;Sucursal!$B$4,Tabla_Registro_de_movimientos_app.accdb[Fecha],"&lt;="&amp;Sucursal!$C$4)</f>
        <v>0</v>
      </c>
      <c r="M40" s="187" t="e">
        <f t="shared" si="86"/>
        <v>#DIV/0!</v>
      </c>
      <c r="N40" s="115">
        <f>SUMIFS(Tabla_Registro_de_movimientos_app.accdb[Importe_Gasto],Tabla_Registro_de_movimientos_app.accdb[Sucursal],Sucursal!N$5,Tabla_Registro_de_movimientos_app.accdb[Detalle de movimiento],Sucursal!$A40,Tabla_Registro_de_movimientos_app.accdb[Fecha],"&gt;"&amp;Sucursal!$B$4,Tabla_Registro_de_movimientos_app.accdb[Fecha],"&lt;="&amp;Sucursal!$C$4)</f>
        <v>0</v>
      </c>
      <c r="O40" s="187" t="e">
        <f t="shared" si="87"/>
        <v>#DIV/0!</v>
      </c>
      <c r="P40" s="115">
        <f>SUMIFS(Tabla_Registro_de_movimientos_app.accdb[Importe_Gasto],Tabla_Registro_de_movimientos_app.accdb[Sucursal],Sucursal!P$5,Tabla_Registro_de_movimientos_app.accdb[Detalle de movimiento],Sucursal!$A40,Tabla_Registro_de_movimientos_app.accdb[Fecha],"&gt;"&amp;Sucursal!$B$4,Tabla_Registro_de_movimientos_app.accdb[Fecha],"&lt;="&amp;Sucursal!$C$4)</f>
        <v>0</v>
      </c>
      <c r="Q40" s="187" t="e">
        <f t="shared" si="88"/>
        <v>#DIV/0!</v>
      </c>
      <c r="R40" s="115">
        <f>SUMIFS(Tabla_Registro_de_movimientos_app.accdb[Importe_Gasto],Tabla_Registro_de_movimientos_app.accdb[Sucursal],Sucursal!R$5,Tabla_Registro_de_movimientos_app.accdb[Detalle de movimiento],Sucursal!$A40,Tabla_Registro_de_movimientos_app.accdb[Fecha],"&gt;"&amp;Sucursal!$B$4,Tabla_Registro_de_movimientos_app.accdb[Fecha],"&lt;="&amp;Sucursal!$C$4)</f>
        <v>0</v>
      </c>
      <c r="S40" s="187" t="e">
        <f t="shared" si="89"/>
        <v>#DIV/0!</v>
      </c>
      <c r="T40" s="115">
        <f>SUMIFS(Tabla_Registro_de_movimientos_app.accdb[Importe_Gasto],Tabla_Registro_de_movimientos_app.accdb[Sucursal],Sucursal!T$5,Tabla_Registro_de_movimientos_app.accdb[Detalle de movimiento],Sucursal!$A40,Tabla_Registro_de_movimientos_app.accdb[Fecha],"&gt;"&amp;Sucursal!$B$4,Tabla_Registro_de_movimientos_app.accdb[Fecha],"&lt;="&amp;Sucursal!$C$4)</f>
        <v>0</v>
      </c>
      <c r="U40" s="187" t="e">
        <f t="shared" si="90"/>
        <v>#DIV/0!</v>
      </c>
      <c r="V40">
        <f>SUMIFS(Tabla_Registro_de_movimientos_app.accdb[Importe_Gasto],Tabla_Registro_de_movimientos_app.accdb[Sucursal],Sucursal!V$5,Tabla_Registro_de_movimientos_app.accdb[Detalle de movimiento],Sucursal!$A40,Tabla_Registro_de_movimientos_app.accdb[Fecha],"&gt;"&amp;Sucursal!$B$4,Tabla_Registro_de_movimientos_app.accdb[Fecha],"&lt;="&amp;Sucursal!$C$4)</f>
        <v>0</v>
      </c>
      <c r="W40" s="187" t="e">
        <f t="shared" si="91"/>
        <v>#DIV/0!</v>
      </c>
      <c r="X40" s="115">
        <f>SUMIFS(Tabla_Registro_de_movimientos_app.accdb[Importe_Gasto],Tabla_Registro_de_movimientos_app.accdb[Sucursal],Sucursal!X$5,Tabla_Registro_de_movimientos_app.accdb[Detalle de movimiento],Sucursal!$A40,Tabla_Registro_de_movimientos_app.accdb[Fecha],"&gt;"&amp;Sucursal!$B$4,Tabla_Registro_de_movimientos_app.accdb[Fecha],"&lt;="&amp;Sucursal!$C$4)</f>
        <v>0</v>
      </c>
      <c r="Y40" s="187" t="e">
        <f t="shared" si="92"/>
        <v>#DIV/0!</v>
      </c>
      <c r="Z40" s="115">
        <f>SUMIFS(Tabla_Registro_de_movimientos_app.accdb[Importe_Gasto],Tabla_Registro_de_movimientos_app.accdb[Sucursal],Sucursal!Z$5,Tabla_Registro_de_movimientos_app.accdb[Detalle de movimiento],Sucursal!$A40,Tabla_Registro_de_movimientos_app.accdb[Fecha],"&gt;"&amp;Sucursal!$B$4,Tabla_Registro_de_movimientos_app.accdb[Fecha],"&lt;="&amp;Sucursal!$C$4)</f>
        <v>0</v>
      </c>
      <c r="AA40" s="187" t="e">
        <f t="shared" si="93"/>
        <v>#DIV/0!</v>
      </c>
      <c r="AB40" s="115">
        <f>SUMIFS(Tabla_Registro_de_movimientos_app.accdb[Importe_Gasto],Tabla_Registro_de_movimientos_app.accdb[Sucursal],Sucursal!AB$5,Tabla_Registro_de_movimientos_app.accdb[Detalle de movimiento],Sucursal!$A40,Tabla_Registro_de_movimientos_app.accdb[Fecha],"&gt;"&amp;Sucursal!$B$4,Tabla_Registro_de_movimientos_app.accdb[Fecha],"&lt;="&amp;Sucursal!$C$4)</f>
        <v>0</v>
      </c>
      <c r="AC40" s="187" t="e">
        <f t="shared" si="94"/>
        <v>#DIV/0!</v>
      </c>
      <c r="AD40" s="115">
        <f>SUMIFS(Tabla_Registro_de_movimientos_app.accdb[Importe_Gasto],Tabla_Registro_de_movimientos_app.accdb[Sucursal],Sucursal!AD$5,Tabla_Registro_de_movimientos_app.accdb[Detalle de movimiento],Sucursal!$A40,Tabla_Registro_de_movimientos_app.accdb[Fecha],"&gt;"&amp;Sucursal!$B$4,Tabla_Registro_de_movimientos_app.accdb[Fecha],"&lt;="&amp;Sucursal!$C$4)</f>
        <v>0</v>
      </c>
      <c r="AE40" s="187" t="e">
        <f t="shared" si="95"/>
        <v>#DIV/0!</v>
      </c>
      <c r="AF40" s="115">
        <f>SUMIFS(Tabla_Registro_de_movimientos_app.accdb[Importe_Gasto],Tabla_Registro_de_movimientos_app.accdb[Sucursal],Sucursal!AF$5,Tabla_Registro_de_movimientos_app.accdb[Detalle de movimiento],Sucursal!$A40,Tabla_Registro_de_movimientos_app.accdb[Fecha],"&gt;"&amp;Sucursal!$B$4,Tabla_Registro_de_movimientos_app.accdb[Fecha],"&lt;="&amp;Sucursal!$C$4)</f>
        <v>0</v>
      </c>
      <c r="AG40" s="187" t="e">
        <f t="shared" si="96"/>
        <v>#DIV/0!</v>
      </c>
      <c r="AH40" s="115">
        <f>SUMIFS(Tabla_Registro_de_movimientos_app.accdb[Importe_Gasto],Tabla_Registro_de_movimientos_app.accdb[Sucursal],Sucursal!AH$5,Tabla_Registro_de_movimientos_app.accdb[Detalle de movimiento],Sucursal!$A40,Tabla_Registro_de_movimientos_app.accdb[Fecha],"&gt;"&amp;Sucursal!$B$4,Tabla_Registro_de_movimientos_app.accdb[Fecha],"&lt;="&amp;Sucursal!$C$4)</f>
        <v>0</v>
      </c>
      <c r="AI40" s="187" t="e">
        <f t="shared" si="97"/>
        <v>#DIV/0!</v>
      </c>
      <c r="AJ40">
        <f>SUMIFS(Tabla_Registro_de_movimientos_app.accdb[Importe_Gasto],Tabla_Registro_de_movimientos_app.accdb[Sucursal],Sucursal!AJ$5,Tabla_Registro_de_movimientos_app.accdb[Detalle de movimiento],Sucursal!$A40,Tabla_Registro_de_movimientos_app.accdb[Fecha],"&gt;"&amp;Sucursal!$B$4,Tabla_Registro_de_movimientos_app.accdb[Fecha],"&lt;="&amp;Sucursal!$C$4)</f>
        <v>0</v>
      </c>
      <c r="AK40" s="187" t="e">
        <f t="shared" si="98"/>
        <v>#DIV/0!</v>
      </c>
      <c r="AM40" s="188">
        <f t="shared" si="99"/>
        <v>0</v>
      </c>
      <c r="AN40" s="189" t="e">
        <f t="shared" si="100"/>
        <v>#DIV/0!</v>
      </c>
    </row>
    <row r="41" spans="1:40" x14ac:dyDescent="0.25">
      <c r="A41" t="s">
        <v>42</v>
      </c>
      <c r="B41" s="115">
        <f>SUMIFS(Tabla_Registro_de_movimientos_app.accdb[Importe_Gasto],Tabla_Registro_de_movimientos_app.accdb[Sucursal],Sucursal!$B$5,Tabla_Registro_de_movimientos_app.accdb[Detalle de movimiento],Sucursal!A41,Tabla_Registro_de_movimientos_app.accdb[Fecha],"&gt;"&amp;Sucursal!$B$4,Tabla_Registro_de_movimientos_app.accdb[Fecha],"&lt;="&amp;Sucursal!$C$4)</f>
        <v>0</v>
      </c>
      <c r="C41" s="187" t="e">
        <f t="shared" si="81"/>
        <v>#DIV/0!</v>
      </c>
      <c r="D41" s="115">
        <f>SUMIFS(Tabla_Registro_de_movimientos_app.accdb[Importe_Gasto],Tabla_Registro_de_movimientos_app.accdb[Sucursal],Sucursal!D$5,Tabla_Registro_de_movimientos_app.accdb[Detalle de movimiento],Sucursal!$A41,Tabla_Registro_de_movimientos_app.accdb[Fecha],"&gt;"&amp;Sucursal!$B$4,Tabla_Registro_de_movimientos_app.accdb[Fecha],"&lt;="&amp;Sucursal!$C$4)</f>
        <v>0</v>
      </c>
      <c r="E41" s="187" t="e">
        <f t="shared" si="82"/>
        <v>#DIV/0!</v>
      </c>
      <c r="F41" s="115">
        <f>SUMIFS(Tabla_Registro_de_movimientos_app.accdb[Importe_Gasto],Tabla_Registro_de_movimientos_app.accdb[Sucursal],Sucursal!F$5,Tabla_Registro_de_movimientos_app.accdb[Detalle de movimiento],Sucursal!$A41,Tabla_Registro_de_movimientos_app.accdb[Fecha],"&gt;"&amp;Sucursal!$B$4,Tabla_Registro_de_movimientos_app.accdb[Fecha],"&lt;="&amp;Sucursal!$C$4)</f>
        <v>0</v>
      </c>
      <c r="G41" s="187" t="e">
        <f t="shared" ref="G41" si="104">F41/F$53</f>
        <v>#DIV/0!</v>
      </c>
      <c r="H41" s="115">
        <f>SUMIFS(Tabla_Registro_de_movimientos_app.accdb[Importe_Gasto],Tabla_Registro_de_movimientos_app.accdb[Sucursal],Sucursal!H$5,Tabla_Registro_de_movimientos_app.accdb[Detalle de movimiento],Sucursal!$A41,Tabla_Registro_de_movimientos_app.accdb[Fecha],"&gt;"&amp;Sucursal!$B$4,Tabla_Registro_de_movimientos_app.accdb[Fecha],"&lt;="&amp;Sucursal!$C$4)</f>
        <v>0</v>
      </c>
      <c r="I41" s="187" t="e">
        <f t="shared" si="84"/>
        <v>#DIV/0!</v>
      </c>
      <c r="J41">
        <f>SUMIFS(Tabla_Registro_de_movimientos_app.accdb[Importe_Gasto],Tabla_Registro_de_movimientos_app.accdb[Sucursal],Sucursal!J$5,Tabla_Registro_de_movimientos_app.accdb[Detalle de movimiento],Sucursal!$A41,Tabla_Registro_de_movimientos_app.accdb[Fecha],"&gt;"&amp;Sucursal!$B$4,Tabla_Registro_de_movimientos_app.accdb[Fecha],"&lt;="&amp;Sucursal!$C$4)</f>
        <v>0</v>
      </c>
      <c r="K41" s="187" t="e">
        <f t="shared" si="85"/>
        <v>#DIV/0!</v>
      </c>
      <c r="L41" s="115">
        <f>SUMIFS(Tabla_Registro_de_movimientos_app.accdb[Importe_Gasto],Tabla_Registro_de_movimientos_app.accdb[Sucursal],Sucursal!L$5,Tabla_Registro_de_movimientos_app.accdb[Detalle de movimiento],Sucursal!$A41,Tabla_Registro_de_movimientos_app.accdb[Fecha],"&gt;"&amp;Sucursal!$B$4,Tabla_Registro_de_movimientos_app.accdb[Fecha],"&lt;="&amp;Sucursal!$C$4)</f>
        <v>0</v>
      </c>
      <c r="M41" s="187" t="e">
        <f t="shared" si="86"/>
        <v>#DIV/0!</v>
      </c>
      <c r="N41" s="115">
        <f>SUMIFS(Tabla_Registro_de_movimientos_app.accdb[Importe_Gasto],Tabla_Registro_de_movimientos_app.accdb[Sucursal],Sucursal!N$5,Tabla_Registro_de_movimientos_app.accdb[Detalle de movimiento],Sucursal!$A41,Tabla_Registro_de_movimientos_app.accdb[Fecha],"&gt;"&amp;Sucursal!$B$4,Tabla_Registro_de_movimientos_app.accdb[Fecha],"&lt;="&amp;Sucursal!$C$4)</f>
        <v>0</v>
      </c>
      <c r="O41" s="187" t="e">
        <f t="shared" si="87"/>
        <v>#DIV/0!</v>
      </c>
      <c r="P41" s="115">
        <f>SUMIFS(Tabla_Registro_de_movimientos_app.accdb[Importe_Gasto],Tabla_Registro_de_movimientos_app.accdb[Sucursal],Sucursal!P$5,Tabla_Registro_de_movimientos_app.accdb[Detalle de movimiento],Sucursal!$A41,Tabla_Registro_de_movimientos_app.accdb[Fecha],"&gt;"&amp;Sucursal!$B$4,Tabla_Registro_de_movimientos_app.accdb[Fecha],"&lt;="&amp;Sucursal!$C$4)</f>
        <v>0</v>
      </c>
      <c r="Q41" s="187" t="e">
        <f t="shared" si="88"/>
        <v>#DIV/0!</v>
      </c>
      <c r="R41" s="115">
        <f>SUMIFS(Tabla_Registro_de_movimientos_app.accdb[Importe_Gasto],Tabla_Registro_de_movimientos_app.accdb[Sucursal],Sucursal!R$5,Tabla_Registro_de_movimientos_app.accdb[Detalle de movimiento],Sucursal!$A41,Tabla_Registro_de_movimientos_app.accdb[Fecha],"&gt;"&amp;Sucursal!$B$4,Tabla_Registro_de_movimientos_app.accdb[Fecha],"&lt;="&amp;Sucursal!$C$4)</f>
        <v>0</v>
      </c>
      <c r="S41" s="187" t="e">
        <f t="shared" si="89"/>
        <v>#DIV/0!</v>
      </c>
      <c r="T41" s="115">
        <f>SUMIFS(Tabla_Registro_de_movimientos_app.accdb[Importe_Gasto],Tabla_Registro_de_movimientos_app.accdb[Sucursal],Sucursal!T$5,Tabla_Registro_de_movimientos_app.accdb[Detalle de movimiento],Sucursal!$A41,Tabla_Registro_de_movimientos_app.accdb[Fecha],"&gt;"&amp;Sucursal!$B$4,Tabla_Registro_de_movimientos_app.accdb[Fecha],"&lt;="&amp;Sucursal!$C$4)</f>
        <v>0</v>
      </c>
      <c r="U41" s="187" t="e">
        <f t="shared" si="90"/>
        <v>#DIV/0!</v>
      </c>
      <c r="V41">
        <f>SUMIFS(Tabla_Registro_de_movimientos_app.accdb[Importe_Gasto],Tabla_Registro_de_movimientos_app.accdb[Sucursal],Sucursal!V$5,Tabla_Registro_de_movimientos_app.accdb[Detalle de movimiento],Sucursal!$A41,Tabla_Registro_de_movimientos_app.accdb[Fecha],"&gt;"&amp;Sucursal!$B$4,Tabla_Registro_de_movimientos_app.accdb[Fecha],"&lt;="&amp;Sucursal!$C$4)</f>
        <v>0</v>
      </c>
      <c r="W41" s="187" t="e">
        <f t="shared" si="91"/>
        <v>#DIV/0!</v>
      </c>
      <c r="X41" s="115">
        <f>SUMIFS(Tabla_Registro_de_movimientos_app.accdb[Importe_Gasto],Tabla_Registro_de_movimientos_app.accdb[Sucursal],Sucursal!X$5,Tabla_Registro_de_movimientos_app.accdb[Detalle de movimiento],Sucursal!$A41,Tabla_Registro_de_movimientos_app.accdb[Fecha],"&gt;"&amp;Sucursal!$B$4,Tabla_Registro_de_movimientos_app.accdb[Fecha],"&lt;="&amp;Sucursal!$C$4)</f>
        <v>0</v>
      </c>
      <c r="Y41" s="187" t="e">
        <f t="shared" si="92"/>
        <v>#DIV/0!</v>
      </c>
      <c r="Z41" s="115">
        <f>SUMIFS(Tabla_Registro_de_movimientos_app.accdb[Importe_Gasto],Tabla_Registro_de_movimientos_app.accdb[Sucursal],Sucursal!Z$5,Tabla_Registro_de_movimientos_app.accdb[Detalle de movimiento],Sucursal!$A41,Tabla_Registro_de_movimientos_app.accdb[Fecha],"&gt;"&amp;Sucursal!$B$4,Tabla_Registro_de_movimientos_app.accdb[Fecha],"&lt;="&amp;Sucursal!$C$4)</f>
        <v>0</v>
      </c>
      <c r="AA41" s="187" t="e">
        <f t="shared" si="93"/>
        <v>#DIV/0!</v>
      </c>
      <c r="AB41" s="115">
        <f>SUMIFS(Tabla_Registro_de_movimientos_app.accdb[Importe_Gasto],Tabla_Registro_de_movimientos_app.accdb[Sucursal],Sucursal!AB$5,Tabla_Registro_de_movimientos_app.accdb[Detalle de movimiento],Sucursal!$A41,Tabla_Registro_de_movimientos_app.accdb[Fecha],"&gt;"&amp;Sucursal!$B$4,Tabla_Registro_de_movimientos_app.accdb[Fecha],"&lt;="&amp;Sucursal!$C$4)</f>
        <v>0</v>
      </c>
      <c r="AC41" s="187" t="e">
        <f t="shared" si="94"/>
        <v>#DIV/0!</v>
      </c>
      <c r="AD41" s="115">
        <f>SUMIFS(Tabla_Registro_de_movimientos_app.accdb[Importe_Gasto],Tabla_Registro_de_movimientos_app.accdb[Sucursal],Sucursal!AD$5,Tabla_Registro_de_movimientos_app.accdb[Detalle de movimiento],Sucursal!$A41,Tabla_Registro_de_movimientos_app.accdb[Fecha],"&gt;"&amp;Sucursal!$B$4,Tabla_Registro_de_movimientos_app.accdb[Fecha],"&lt;="&amp;Sucursal!$C$4)</f>
        <v>0</v>
      </c>
      <c r="AE41" s="187" t="e">
        <f t="shared" si="95"/>
        <v>#DIV/0!</v>
      </c>
      <c r="AF41" s="115">
        <f>SUMIFS(Tabla_Registro_de_movimientos_app.accdb[Importe_Gasto],Tabla_Registro_de_movimientos_app.accdb[Sucursal],Sucursal!AF$5,Tabla_Registro_de_movimientos_app.accdb[Detalle de movimiento],Sucursal!$A41,Tabla_Registro_de_movimientos_app.accdb[Fecha],"&gt;"&amp;Sucursal!$B$4,Tabla_Registro_de_movimientos_app.accdb[Fecha],"&lt;="&amp;Sucursal!$C$4)</f>
        <v>0</v>
      </c>
      <c r="AG41" s="187" t="e">
        <f t="shared" si="96"/>
        <v>#DIV/0!</v>
      </c>
      <c r="AH41" s="115">
        <f>SUMIFS(Tabla_Registro_de_movimientos_app.accdb[Importe_Gasto],Tabla_Registro_de_movimientos_app.accdb[Sucursal],Sucursal!AH$5,Tabla_Registro_de_movimientos_app.accdb[Detalle de movimiento],Sucursal!$A41,Tabla_Registro_de_movimientos_app.accdb[Fecha],"&gt;"&amp;Sucursal!$B$4,Tabla_Registro_de_movimientos_app.accdb[Fecha],"&lt;="&amp;Sucursal!$C$4)</f>
        <v>0</v>
      </c>
      <c r="AI41" s="187" t="e">
        <f t="shared" si="97"/>
        <v>#DIV/0!</v>
      </c>
      <c r="AJ41">
        <f>SUMIFS(Tabla_Registro_de_movimientos_app.accdb[Importe_Gasto],Tabla_Registro_de_movimientos_app.accdb[Sucursal],Sucursal!AJ$5,Tabla_Registro_de_movimientos_app.accdb[Detalle de movimiento],Sucursal!$A41,Tabla_Registro_de_movimientos_app.accdb[Fecha],"&gt;"&amp;Sucursal!$B$4,Tabla_Registro_de_movimientos_app.accdb[Fecha],"&lt;="&amp;Sucursal!$C$4)</f>
        <v>0</v>
      </c>
      <c r="AK41" s="187" t="e">
        <f t="shared" si="98"/>
        <v>#DIV/0!</v>
      </c>
      <c r="AM41" s="188">
        <f t="shared" si="99"/>
        <v>0</v>
      </c>
      <c r="AN41" s="189" t="e">
        <f t="shared" si="100"/>
        <v>#DIV/0!</v>
      </c>
    </row>
    <row r="42" spans="1:40" x14ac:dyDescent="0.25">
      <c r="A42" t="s">
        <v>28</v>
      </c>
      <c r="B42" s="115">
        <f>SUMIFS(Tabla_Registro_de_movimientos_app.accdb[Importe_Gasto],Tabla_Registro_de_movimientos_app.accdb[Sucursal],Sucursal!$B$5,Tabla_Registro_de_movimientos_app.accdb[Detalle de movimiento],Sucursal!A42,Tabla_Registro_de_movimientos_app.accdb[Fecha],"&gt;"&amp;Sucursal!$B$4,Tabla_Registro_de_movimientos_app.accdb[Fecha],"&lt;="&amp;Sucursal!$C$4)</f>
        <v>0</v>
      </c>
      <c r="C42" s="187" t="e">
        <f t="shared" si="81"/>
        <v>#DIV/0!</v>
      </c>
      <c r="D42" s="115">
        <f>SUMIFS(Tabla_Registro_de_movimientos_app.accdb[Importe_Gasto],Tabla_Registro_de_movimientos_app.accdb[Sucursal],Sucursal!D$5,Tabla_Registro_de_movimientos_app.accdb[Detalle de movimiento],Sucursal!$A42,Tabla_Registro_de_movimientos_app.accdb[Fecha],"&gt;"&amp;Sucursal!$B$4,Tabla_Registro_de_movimientos_app.accdb[Fecha],"&lt;="&amp;Sucursal!$C$4)</f>
        <v>0</v>
      </c>
      <c r="E42" s="187" t="e">
        <f t="shared" si="82"/>
        <v>#DIV/0!</v>
      </c>
      <c r="F42" s="115">
        <f>SUMIFS(Tabla_Registro_de_movimientos_app.accdb[Importe_Gasto],Tabla_Registro_de_movimientos_app.accdb[Sucursal],Sucursal!F$5,Tabla_Registro_de_movimientos_app.accdb[Detalle de movimiento],Sucursal!$A42,Tabla_Registro_de_movimientos_app.accdb[Fecha],"&gt;"&amp;Sucursal!$B$4,Tabla_Registro_de_movimientos_app.accdb[Fecha],"&lt;="&amp;Sucursal!$C$4)</f>
        <v>0</v>
      </c>
      <c r="G42" s="187" t="e">
        <f t="shared" ref="G42" si="105">F42/F$53</f>
        <v>#DIV/0!</v>
      </c>
      <c r="H42" s="115">
        <f>SUMIFS(Tabla_Registro_de_movimientos_app.accdb[Importe_Gasto],Tabla_Registro_de_movimientos_app.accdb[Sucursal],Sucursal!H$5,Tabla_Registro_de_movimientos_app.accdb[Detalle de movimiento],Sucursal!$A42,Tabla_Registro_de_movimientos_app.accdb[Fecha],"&gt;"&amp;Sucursal!$B$4,Tabla_Registro_de_movimientos_app.accdb[Fecha],"&lt;="&amp;Sucursal!$C$4)</f>
        <v>0</v>
      </c>
      <c r="I42" s="187" t="e">
        <f t="shared" si="84"/>
        <v>#DIV/0!</v>
      </c>
      <c r="J42">
        <f>SUMIFS(Tabla_Registro_de_movimientos_app.accdb[Importe_Gasto],Tabla_Registro_de_movimientos_app.accdb[Sucursal],Sucursal!J$5,Tabla_Registro_de_movimientos_app.accdb[Detalle de movimiento],Sucursal!$A42,Tabla_Registro_de_movimientos_app.accdb[Fecha],"&gt;"&amp;Sucursal!$B$4,Tabla_Registro_de_movimientos_app.accdb[Fecha],"&lt;="&amp;Sucursal!$C$4)</f>
        <v>0</v>
      </c>
      <c r="K42" s="187" t="e">
        <f t="shared" si="85"/>
        <v>#DIV/0!</v>
      </c>
      <c r="L42" s="115">
        <f>SUMIFS(Tabla_Registro_de_movimientos_app.accdb[Importe_Gasto],Tabla_Registro_de_movimientos_app.accdb[Sucursal],Sucursal!L$5,Tabla_Registro_de_movimientos_app.accdb[Detalle de movimiento],Sucursal!$A42,Tabla_Registro_de_movimientos_app.accdb[Fecha],"&gt;"&amp;Sucursal!$B$4,Tabla_Registro_de_movimientos_app.accdb[Fecha],"&lt;="&amp;Sucursal!$C$4)</f>
        <v>0</v>
      </c>
      <c r="M42" s="187" t="e">
        <f t="shared" si="86"/>
        <v>#DIV/0!</v>
      </c>
      <c r="N42" s="115">
        <f>SUMIFS(Tabla_Registro_de_movimientos_app.accdb[Importe_Gasto],Tabla_Registro_de_movimientos_app.accdb[Sucursal],Sucursal!N$5,Tabla_Registro_de_movimientos_app.accdb[Detalle de movimiento],Sucursal!$A42,Tabla_Registro_de_movimientos_app.accdb[Fecha],"&gt;"&amp;Sucursal!$B$4,Tabla_Registro_de_movimientos_app.accdb[Fecha],"&lt;="&amp;Sucursal!$C$4)</f>
        <v>0</v>
      </c>
      <c r="O42" s="187" t="e">
        <f t="shared" si="87"/>
        <v>#DIV/0!</v>
      </c>
      <c r="P42" s="115">
        <f>SUMIFS(Tabla_Registro_de_movimientos_app.accdb[Importe_Gasto],Tabla_Registro_de_movimientos_app.accdb[Sucursal],Sucursal!P$5,Tabla_Registro_de_movimientos_app.accdb[Detalle de movimiento],Sucursal!$A42,Tabla_Registro_de_movimientos_app.accdb[Fecha],"&gt;"&amp;Sucursal!$B$4,Tabla_Registro_de_movimientos_app.accdb[Fecha],"&lt;="&amp;Sucursal!$C$4)</f>
        <v>0</v>
      </c>
      <c r="Q42" s="187" t="e">
        <f t="shared" si="88"/>
        <v>#DIV/0!</v>
      </c>
      <c r="R42" s="115">
        <f>SUMIFS(Tabla_Registro_de_movimientos_app.accdb[Importe_Gasto],Tabla_Registro_de_movimientos_app.accdb[Sucursal],Sucursal!R$5,Tabla_Registro_de_movimientos_app.accdb[Detalle de movimiento],Sucursal!$A42,Tabla_Registro_de_movimientos_app.accdb[Fecha],"&gt;"&amp;Sucursal!$B$4,Tabla_Registro_de_movimientos_app.accdb[Fecha],"&lt;="&amp;Sucursal!$C$4)</f>
        <v>0</v>
      </c>
      <c r="S42" s="187" t="e">
        <f t="shared" si="89"/>
        <v>#DIV/0!</v>
      </c>
      <c r="T42" s="115">
        <f>SUMIFS(Tabla_Registro_de_movimientos_app.accdb[Importe_Gasto],Tabla_Registro_de_movimientos_app.accdb[Sucursal],Sucursal!T$5,Tabla_Registro_de_movimientos_app.accdb[Detalle de movimiento],Sucursal!$A42,Tabla_Registro_de_movimientos_app.accdb[Fecha],"&gt;"&amp;Sucursal!$B$4,Tabla_Registro_de_movimientos_app.accdb[Fecha],"&lt;="&amp;Sucursal!$C$4)</f>
        <v>0</v>
      </c>
      <c r="U42" s="187" t="e">
        <f t="shared" si="90"/>
        <v>#DIV/0!</v>
      </c>
      <c r="V42">
        <f>SUMIFS(Tabla_Registro_de_movimientos_app.accdb[Importe_Gasto],Tabla_Registro_de_movimientos_app.accdb[Sucursal],Sucursal!V$5,Tabla_Registro_de_movimientos_app.accdb[Detalle de movimiento],Sucursal!$A42,Tabla_Registro_de_movimientos_app.accdb[Fecha],"&gt;"&amp;Sucursal!$B$4,Tabla_Registro_de_movimientos_app.accdb[Fecha],"&lt;="&amp;Sucursal!$C$4)</f>
        <v>0</v>
      </c>
      <c r="W42" s="187" t="e">
        <f t="shared" si="91"/>
        <v>#DIV/0!</v>
      </c>
      <c r="X42" s="115">
        <f>SUMIFS(Tabla_Registro_de_movimientos_app.accdb[Importe_Gasto],Tabla_Registro_de_movimientos_app.accdb[Sucursal],Sucursal!X$5,Tabla_Registro_de_movimientos_app.accdb[Detalle de movimiento],Sucursal!$A42,Tabla_Registro_de_movimientos_app.accdb[Fecha],"&gt;"&amp;Sucursal!$B$4,Tabla_Registro_de_movimientos_app.accdb[Fecha],"&lt;="&amp;Sucursal!$C$4)</f>
        <v>0</v>
      </c>
      <c r="Y42" s="187" t="e">
        <f t="shared" si="92"/>
        <v>#DIV/0!</v>
      </c>
      <c r="Z42" s="115">
        <f>SUMIFS(Tabla_Registro_de_movimientos_app.accdb[Importe_Gasto],Tabla_Registro_de_movimientos_app.accdb[Sucursal],Sucursal!Z$5,Tabla_Registro_de_movimientos_app.accdb[Detalle de movimiento],Sucursal!$A42,Tabla_Registro_de_movimientos_app.accdb[Fecha],"&gt;"&amp;Sucursal!$B$4,Tabla_Registro_de_movimientos_app.accdb[Fecha],"&lt;="&amp;Sucursal!$C$4)</f>
        <v>0</v>
      </c>
      <c r="AA42" s="187" t="e">
        <f t="shared" si="93"/>
        <v>#DIV/0!</v>
      </c>
      <c r="AB42" s="115">
        <f>SUMIFS(Tabla_Registro_de_movimientos_app.accdb[Importe_Gasto],Tabla_Registro_de_movimientos_app.accdb[Sucursal],Sucursal!AB$5,Tabla_Registro_de_movimientos_app.accdb[Detalle de movimiento],Sucursal!$A42,Tabla_Registro_de_movimientos_app.accdb[Fecha],"&gt;"&amp;Sucursal!$B$4,Tabla_Registro_de_movimientos_app.accdb[Fecha],"&lt;="&amp;Sucursal!$C$4)</f>
        <v>0</v>
      </c>
      <c r="AC42" s="187" t="e">
        <f t="shared" si="94"/>
        <v>#DIV/0!</v>
      </c>
      <c r="AD42" s="115">
        <f>SUMIFS(Tabla_Registro_de_movimientos_app.accdb[Importe_Gasto],Tabla_Registro_de_movimientos_app.accdb[Sucursal],Sucursal!AD$5,Tabla_Registro_de_movimientos_app.accdb[Detalle de movimiento],Sucursal!$A42,Tabla_Registro_de_movimientos_app.accdb[Fecha],"&gt;"&amp;Sucursal!$B$4,Tabla_Registro_de_movimientos_app.accdb[Fecha],"&lt;="&amp;Sucursal!$C$4)</f>
        <v>0</v>
      </c>
      <c r="AE42" s="187" t="e">
        <f t="shared" si="95"/>
        <v>#DIV/0!</v>
      </c>
      <c r="AF42" s="115">
        <f>SUMIFS(Tabla_Registro_de_movimientos_app.accdb[Importe_Gasto],Tabla_Registro_de_movimientos_app.accdb[Sucursal],Sucursal!AF$5,Tabla_Registro_de_movimientos_app.accdb[Detalle de movimiento],Sucursal!$A42,Tabla_Registro_de_movimientos_app.accdb[Fecha],"&gt;"&amp;Sucursal!$B$4,Tabla_Registro_de_movimientos_app.accdb[Fecha],"&lt;="&amp;Sucursal!$C$4)</f>
        <v>0</v>
      </c>
      <c r="AG42" s="187" t="e">
        <f t="shared" si="96"/>
        <v>#DIV/0!</v>
      </c>
      <c r="AH42" s="115">
        <f>SUMIFS(Tabla_Registro_de_movimientos_app.accdb[Importe_Gasto],Tabla_Registro_de_movimientos_app.accdb[Sucursal],Sucursal!AH$5,Tabla_Registro_de_movimientos_app.accdb[Detalle de movimiento],Sucursal!$A42,Tabla_Registro_de_movimientos_app.accdb[Fecha],"&gt;"&amp;Sucursal!$B$4,Tabla_Registro_de_movimientos_app.accdb[Fecha],"&lt;="&amp;Sucursal!$C$4)</f>
        <v>0</v>
      </c>
      <c r="AI42" s="187" t="e">
        <f t="shared" si="97"/>
        <v>#DIV/0!</v>
      </c>
      <c r="AJ42">
        <f>SUMIFS(Tabla_Registro_de_movimientos_app.accdb[Importe_Gasto],Tabla_Registro_de_movimientos_app.accdb[Sucursal],Sucursal!AJ$5,Tabla_Registro_de_movimientos_app.accdb[Detalle de movimiento],Sucursal!$A42,Tabla_Registro_de_movimientos_app.accdb[Fecha],"&gt;"&amp;Sucursal!$B$4,Tabla_Registro_de_movimientos_app.accdb[Fecha],"&lt;="&amp;Sucursal!$C$4)</f>
        <v>0</v>
      </c>
      <c r="AK42" s="187" t="e">
        <f t="shared" si="98"/>
        <v>#DIV/0!</v>
      </c>
      <c r="AM42" s="188">
        <f t="shared" si="99"/>
        <v>0</v>
      </c>
      <c r="AN42" s="189" t="e">
        <f t="shared" si="100"/>
        <v>#DIV/0!</v>
      </c>
    </row>
    <row r="43" spans="1:40" x14ac:dyDescent="0.25">
      <c r="A43" t="s">
        <v>12</v>
      </c>
      <c r="B43" s="115">
        <f>SUMIFS(Tabla_Registro_de_movimientos_app.accdb[Importe_Gasto],Tabla_Registro_de_movimientos_app.accdb[Sucursal],Sucursal!$B$5,Tabla_Registro_de_movimientos_app.accdb[Detalle de movimiento],Sucursal!A43,Tabla_Registro_de_movimientos_app.accdb[Fecha],"&gt;"&amp;Sucursal!$B$4,Tabla_Registro_de_movimientos_app.accdb[Fecha],"&lt;="&amp;Sucursal!$C$4)</f>
        <v>0</v>
      </c>
      <c r="C43" s="187" t="e">
        <f t="shared" si="81"/>
        <v>#DIV/0!</v>
      </c>
      <c r="D43" s="115">
        <f>SUMIFS(Tabla_Registro_de_movimientos_app.accdb[Importe_Gasto],Tabla_Registro_de_movimientos_app.accdb[Sucursal],Sucursal!D$5,Tabla_Registro_de_movimientos_app.accdb[Detalle de movimiento],Sucursal!$A43,Tabla_Registro_de_movimientos_app.accdb[Fecha],"&gt;"&amp;Sucursal!$B$4,Tabla_Registro_de_movimientos_app.accdb[Fecha],"&lt;="&amp;Sucursal!$C$4)</f>
        <v>0</v>
      </c>
      <c r="E43" s="187" t="e">
        <f t="shared" si="82"/>
        <v>#DIV/0!</v>
      </c>
      <c r="F43" s="115">
        <f>SUMIFS(Tabla_Registro_de_movimientos_app.accdb[Importe_Gasto],Tabla_Registro_de_movimientos_app.accdb[Sucursal],Sucursal!F$5,Tabla_Registro_de_movimientos_app.accdb[Detalle de movimiento],Sucursal!$A43,Tabla_Registro_de_movimientos_app.accdb[Fecha],"&gt;"&amp;Sucursal!$B$4,Tabla_Registro_de_movimientos_app.accdb[Fecha],"&lt;="&amp;Sucursal!$C$4)</f>
        <v>0</v>
      </c>
      <c r="G43" s="187" t="e">
        <f t="shared" ref="G43" si="106">F43/F$53</f>
        <v>#DIV/0!</v>
      </c>
      <c r="H43" s="115">
        <f>SUMIFS(Tabla_Registro_de_movimientos_app.accdb[Importe_Gasto],Tabla_Registro_de_movimientos_app.accdb[Sucursal],Sucursal!H$5,Tabla_Registro_de_movimientos_app.accdb[Detalle de movimiento],Sucursal!$A43,Tabla_Registro_de_movimientos_app.accdb[Fecha],"&gt;"&amp;Sucursal!$B$4,Tabla_Registro_de_movimientos_app.accdb[Fecha],"&lt;="&amp;Sucursal!$C$4)</f>
        <v>0</v>
      </c>
      <c r="I43" s="187" t="e">
        <f t="shared" si="84"/>
        <v>#DIV/0!</v>
      </c>
      <c r="J43">
        <f>SUMIFS(Tabla_Registro_de_movimientos_app.accdb[Importe_Gasto],Tabla_Registro_de_movimientos_app.accdb[Sucursal],Sucursal!J$5,Tabla_Registro_de_movimientos_app.accdb[Detalle de movimiento],Sucursal!$A43,Tabla_Registro_de_movimientos_app.accdb[Fecha],"&gt;"&amp;Sucursal!$B$4,Tabla_Registro_de_movimientos_app.accdb[Fecha],"&lt;="&amp;Sucursal!$C$4)</f>
        <v>0</v>
      </c>
      <c r="K43" s="187" t="e">
        <f t="shared" si="85"/>
        <v>#DIV/0!</v>
      </c>
      <c r="L43" s="115">
        <f>SUMIFS(Tabla_Registro_de_movimientos_app.accdb[Importe_Gasto],Tabla_Registro_de_movimientos_app.accdb[Sucursal],Sucursal!L$5,Tabla_Registro_de_movimientos_app.accdb[Detalle de movimiento],Sucursal!$A43,Tabla_Registro_de_movimientos_app.accdb[Fecha],"&gt;"&amp;Sucursal!$B$4,Tabla_Registro_de_movimientos_app.accdb[Fecha],"&lt;="&amp;Sucursal!$C$4)</f>
        <v>0</v>
      </c>
      <c r="M43" s="187" t="e">
        <f t="shared" si="86"/>
        <v>#DIV/0!</v>
      </c>
      <c r="N43" s="115">
        <f>SUMIFS(Tabla_Registro_de_movimientos_app.accdb[Importe_Gasto],Tabla_Registro_de_movimientos_app.accdb[Sucursal],Sucursal!N$5,Tabla_Registro_de_movimientos_app.accdb[Detalle de movimiento],Sucursal!$A43,Tabla_Registro_de_movimientos_app.accdb[Fecha],"&gt;"&amp;Sucursal!$B$4,Tabla_Registro_de_movimientos_app.accdb[Fecha],"&lt;="&amp;Sucursal!$C$4)</f>
        <v>0</v>
      </c>
      <c r="O43" s="187" t="e">
        <f t="shared" si="87"/>
        <v>#DIV/0!</v>
      </c>
      <c r="P43" s="115">
        <f>SUMIFS(Tabla_Registro_de_movimientos_app.accdb[Importe_Gasto],Tabla_Registro_de_movimientos_app.accdb[Sucursal],Sucursal!P$5,Tabla_Registro_de_movimientos_app.accdb[Detalle de movimiento],Sucursal!$A43,Tabla_Registro_de_movimientos_app.accdb[Fecha],"&gt;"&amp;Sucursal!$B$4,Tabla_Registro_de_movimientos_app.accdb[Fecha],"&lt;="&amp;Sucursal!$C$4)</f>
        <v>0</v>
      </c>
      <c r="Q43" s="187" t="e">
        <f t="shared" si="88"/>
        <v>#DIV/0!</v>
      </c>
      <c r="R43" s="115">
        <f>SUMIFS(Tabla_Registro_de_movimientos_app.accdb[Importe_Gasto],Tabla_Registro_de_movimientos_app.accdb[Sucursal],Sucursal!R$5,Tabla_Registro_de_movimientos_app.accdb[Detalle de movimiento],Sucursal!$A43,Tabla_Registro_de_movimientos_app.accdb[Fecha],"&gt;"&amp;Sucursal!$B$4,Tabla_Registro_de_movimientos_app.accdb[Fecha],"&lt;="&amp;Sucursal!$C$4)</f>
        <v>0</v>
      </c>
      <c r="S43" s="187" t="e">
        <f t="shared" si="89"/>
        <v>#DIV/0!</v>
      </c>
      <c r="T43" s="115">
        <f>SUMIFS(Tabla_Registro_de_movimientos_app.accdb[Importe_Gasto],Tabla_Registro_de_movimientos_app.accdb[Sucursal],Sucursal!T$5,Tabla_Registro_de_movimientos_app.accdb[Detalle de movimiento],Sucursal!$A43,Tabla_Registro_de_movimientos_app.accdb[Fecha],"&gt;"&amp;Sucursal!$B$4,Tabla_Registro_de_movimientos_app.accdb[Fecha],"&lt;="&amp;Sucursal!$C$4)</f>
        <v>0</v>
      </c>
      <c r="U43" s="187" t="e">
        <f t="shared" si="90"/>
        <v>#DIV/0!</v>
      </c>
      <c r="V43">
        <f>SUMIFS(Tabla_Registro_de_movimientos_app.accdb[Importe_Gasto],Tabla_Registro_de_movimientos_app.accdb[Sucursal],Sucursal!V$5,Tabla_Registro_de_movimientos_app.accdb[Detalle de movimiento],Sucursal!$A43,Tabla_Registro_de_movimientos_app.accdb[Fecha],"&gt;"&amp;Sucursal!$B$4,Tabla_Registro_de_movimientos_app.accdb[Fecha],"&lt;="&amp;Sucursal!$C$4)</f>
        <v>0</v>
      </c>
      <c r="W43" s="187" t="e">
        <f t="shared" si="91"/>
        <v>#DIV/0!</v>
      </c>
      <c r="X43" s="115">
        <f>SUMIFS(Tabla_Registro_de_movimientos_app.accdb[Importe_Gasto],Tabla_Registro_de_movimientos_app.accdb[Sucursal],Sucursal!X$5,Tabla_Registro_de_movimientos_app.accdb[Detalle de movimiento],Sucursal!$A43,Tabla_Registro_de_movimientos_app.accdb[Fecha],"&gt;"&amp;Sucursal!$B$4,Tabla_Registro_de_movimientos_app.accdb[Fecha],"&lt;="&amp;Sucursal!$C$4)</f>
        <v>0</v>
      </c>
      <c r="Y43" s="187" t="e">
        <f t="shared" si="92"/>
        <v>#DIV/0!</v>
      </c>
      <c r="Z43" s="115">
        <f>SUMIFS(Tabla_Registro_de_movimientos_app.accdb[Importe_Gasto],Tabla_Registro_de_movimientos_app.accdb[Sucursal],Sucursal!Z$5,Tabla_Registro_de_movimientos_app.accdb[Detalle de movimiento],Sucursal!$A43,Tabla_Registro_de_movimientos_app.accdb[Fecha],"&gt;"&amp;Sucursal!$B$4,Tabla_Registro_de_movimientos_app.accdb[Fecha],"&lt;="&amp;Sucursal!$C$4)</f>
        <v>0</v>
      </c>
      <c r="AA43" s="187" t="e">
        <f t="shared" si="93"/>
        <v>#DIV/0!</v>
      </c>
      <c r="AB43" s="115">
        <f>SUMIFS(Tabla_Registro_de_movimientos_app.accdb[Importe_Gasto],Tabla_Registro_de_movimientos_app.accdb[Sucursal],Sucursal!AB$5,Tabla_Registro_de_movimientos_app.accdb[Detalle de movimiento],Sucursal!$A43,Tabla_Registro_de_movimientos_app.accdb[Fecha],"&gt;"&amp;Sucursal!$B$4,Tabla_Registro_de_movimientos_app.accdb[Fecha],"&lt;="&amp;Sucursal!$C$4)</f>
        <v>0</v>
      </c>
      <c r="AC43" s="187" t="e">
        <f t="shared" si="94"/>
        <v>#DIV/0!</v>
      </c>
      <c r="AD43" s="115">
        <f>SUMIFS(Tabla_Registro_de_movimientos_app.accdb[Importe_Gasto],Tabla_Registro_de_movimientos_app.accdb[Sucursal],Sucursal!AD$5,Tabla_Registro_de_movimientos_app.accdb[Detalle de movimiento],Sucursal!$A43,Tabla_Registro_de_movimientos_app.accdb[Fecha],"&gt;"&amp;Sucursal!$B$4,Tabla_Registro_de_movimientos_app.accdb[Fecha],"&lt;="&amp;Sucursal!$C$4)</f>
        <v>0</v>
      </c>
      <c r="AE43" s="187" t="e">
        <f t="shared" si="95"/>
        <v>#DIV/0!</v>
      </c>
      <c r="AF43" s="115">
        <f>SUMIFS(Tabla_Registro_de_movimientos_app.accdb[Importe_Gasto],Tabla_Registro_de_movimientos_app.accdb[Sucursal],Sucursal!AF$5,Tabla_Registro_de_movimientos_app.accdb[Detalle de movimiento],Sucursal!$A43,Tabla_Registro_de_movimientos_app.accdb[Fecha],"&gt;"&amp;Sucursal!$B$4,Tabla_Registro_de_movimientos_app.accdb[Fecha],"&lt;="&amp;Sucursal!$C$4)</f>
        <v>0</v>
      </c>
      <c r="AG43" s="187" t="e">
        <f t="shared" si="96"/>
        <v>#DIV/0!</v>
      </c>
      <c r="AH43" s="115">
        <f>SUMIFS(Tabla_Registro_de_movimientos_app.accdb[Importe_Gasto],Tabla_Registro_de_movimientos_app.accdb[Sucursal],Sucursal!AH$5,Tabla_Registro_de_movimientos_app.accdb[Detalle de movimiento],Sucursal!$A43,Tabla_Registro_de_movimientos_app.accdb[Fecha],"&gt;"&amp;Sucursal!$B$4,Tabla_Registro_de_movimientos_app.accdb[Fecha],"&lt;="&amp;Sucursal!$C$4)</f>
        <v>0</v>
      </c>
      <c r="AI43" s="187" t="e">
        <f t="shared" si="97"/>
        <v>#DIV/0!</v>
      </c>
      <c r="AJ43">
        <f>SUMIFS(Tabla_Registro_de_movimientos_app.accdb[Importe_Gasto],Tabla_Registro_de_movimientos_app.accdb[Sucursal],Sucursal!AJ$5,Tabla_Registro_de_movimientos_app.accdb[Detalle de movimiento],Sucursal!$A43,Tabla_Registro_de_movimientos_app.accdb[Fecha],"&gt;"&amp;Sucursal!$B$4,Tabla_Registro_de_movimientos_app.accdb[Fecha],"&lt;="&amp;Sucursal!$C$4)</f>
        <v>0</v>
      </c>
      <c r="AK43" s="187" t="e">
        <f t="shared" si="98"/>
        <v>#DIV/0!</v>
      </c>
      <c r="AM43" s="188">
        <f t="shared" si="99"/>
        <v>0</v>
      </c>
      <c r="AN43" s="189" t="e">
        <f t="shared" si="100"/>
        <v>#DIV/0!</v>
      </c>
    </row>
    <row r="44" spans="1:40" x14ac:dyDescent="0.25">
      <c r="A44" t="s">
        <v>52</v>
      </c>
      <c r="B44">
        <f>SUMIFS(Tabla_Registro_de_movimientos_app.accdb[Importe_Gasto],Tabla_Registro_de_movimientos_app.accdb[Sucursal],Sucursal!$B$5,Tabla_Registro_de_movimientos_app.accdb[Detalle de movimiento],Sucursal!A44,Tabla_Registro_de_movimientos_app.accdb[Fecha],"&gt;"&amp;Sucursal!$B$4,Tabla_Registro_de_movimientos_app.accdb[Fecha],"&lt;="&amp;Sucursal!$C$4)</f>
        <v>0</v>
      </c>
      <c r="C44" s="187" t="e">
        <f t="shared" si="81"/>
        <v>#DIV/0!</v>
      </c>
      <c r="D44" s="115">
        <f>SUMIFS(Tabla_Registro_de_movimientos_app.accdb[Importe_Gasto],Tabla_Registro_de_movimientos_app.accdb[Sucursal],Sucursal!D$5,Tabla_Registro_de_movimientos_app.accdb[Detalle de movimiento],Sucursal!$A44,Tabla_Registro_de_movimientos_app.accdb[Fecha],"&gt;"&amp;Sucursal!$B$4,Tabla_Registro_de_movimientos_app.accdb[Fecha],"&lt;="&amp;Sucursal!$C$4)</f>
        <v>0</v>
      </c>
      <c r="E44" s="187" t="e">
        <f t="shared" si="82"/>
        <v>#DIV/0!</v>
      </c>
      <c r="F44" s="115">
        <f>SUMIFS(Tabla_Registro_de_movimientos_app.accdb[Importe_Gasto],Tabla_Registro_de_movimientos_app.accdb[Sucursal],Sucursal!F$5,Tabla_Registro_de_movimientos_app.accdb[Detalle de movimiento],Sucursal!$A44,Tabla_Registro_de_movimientos_app.accdb[Fecha],"&gt;"&amp;Sucursal!$B$4,Tabla_Registro_de_movimientos_app.accdb[Fecha],"&lt;="&amp;Sucursal!$C$4)</f>
        <v>0</v>
      </c>
      <c r="G44" s="187" t="e">
        <f t="shared" ref="G44" si="107">F44/F$53</f>
        <v>#DIV/0!</v>
      </c>
      <c r="H44" s="115">
        <f>SUMIFS(Tabla_Registro_de_movimientos_app.accdb[Importe_Gasto],Tabla_Registro_de_movimientos_app.accdb[Sucursal],Sucursal!H$5,Tabla_Registro_de_movimientos_app.accdb[Detalle de movimiento],Sucursal!$A44,Tabla_Registro_de_movimientos_app.accdb[Fecha],"&gt;"&amp;Sucursal!$B$4,Tabla_Registro_de_movimientos_app.accdb[Fecha],"&lt;="&amp;Sucursal!$C$4)</f>
        <v>0</v>
      </c>
      <c r="I44" s="187" t="e">
        <f t="shared" si="84"/>
        <v>#DIV/0!</v>
      </c>
      <c r="J44">
        <f>SUMIFS(Tabla_Registro_de_movimientos_app.accdb[Importe_Gasto],Tabla_Registro_de_movimientos_app.accdb[Sucursal],Sucursal!J$5,Tabla_Registro_de_movimientos_app.accdb[Detalle de movimiento],Sucursal!$A44,Tabla_Registro_de_movimientos_app.accdb[Fecha],"&gt;"&amp;Sucursal!$B$4,Tabla_Registro_de_movimientos_app.accdb[Fecha],"&lt;="&amp;Sucursal!$C$4)</f>
        <v>0</v>
      </c>
      <c r="K44" s="187" t="e">
        <f t="shared" si="85"/>
        <v>#DIV/0!</v>
      </c>
      <c r="L44" s="115">
        <f>SUMIFS(Tabla_Registro_de_movimientos_app.accdb[Importe_Gasto],Tabla_Registro_de_movimientos_app.accdb[Sucursal],Sucursal!L$5,Tabla_Registro_de_movimientos_app.accdb[Detalle de movimiento],Sucursal!$A44,Tabla_Registro_de_movimientos_app.accdb[Fecha],"&gt;"&amp;Sucursal!$B$4,Tabla_Registro_de_movimientos_app.accdb[Fecha],"&lt;="&amp;Sucursal!$C$4)</f>
        <v>0</v>
      </c>
      <c r="M44" s="187" t="e">
        <f t="shared" si="86"/>
        <v>#DIV/0!</v>
      </c>
      <c r="N44" s="115">
        <f>SUMIFS(Tabla_Registro_de_movimientos_app.accdb[Importe_Gasto],Tabla_Registro_de_movimientos_app.accdb[Sucursal],Sucursal!N$5,Tabla_Registro_de_movimientos_app.accdb[Detalle de movimiento],Sucursal!$A44,Tabla_Registro_de_movimientos_app.accdb[Fecha],"&gt;"&amp;Sucursal!$B$4,Tabla_Registro_de_movimientos_app.accdb[Fecha],"&lt;="&amp;Sucursal!$C$4)</f>
        <v>0</v>
      </c>
      <c r="O44" s="187" t="e">
        <f t="shared" si="87"/>
        <v>#DIV/0!</v>
      </c>
      <c r="P44" s="115">
        <f>SUMIFS(Tabla_Registro_de_movimientos_app.accdb[Importe_Gasto],Tabla_Registro_de_movimientos_app.accdb[Sucursal],Sucursal!P$5,Tabla_Registro_de_movimientos_app.accdb[Detalle de movimiento],Sucursal!$A44,Tabla_Registro_de_movimientos_app.accdb[Fecha],"&gt;"&amp;Sucursal!$B$4,Tabla_Registro_de_movimientos_app.accdb[Fecha],"&lt;="&amp;Sucursal!$C$4)</f>
        <v>0</v>
      </c>
      <c r="Q44" s="187" t="e">
        <f t="shared" si="88"/>
        <v>#DIV/0!</v>
      </c>
      <c r="R44" s="115">
        <f>SUMIFS(Tabla_Registro_de_movimientos_app.accdb[Importe_Gasto],Tabla_Registro_de_movimientos_app.accdb[Sucursal],Sucursal!R$5,Tabla_Registro_de_movimientos_app.accdb[Detalle de movimiento],Sucursal!$A44,Tabla_Registro_de_movimientos_app.accdb[Fecha],"&gt;"&amp;Sucursal!$B$4,Tabla_Registro_de_movimientos_app.accdb[Fecha],"&lt;="&amp;Sucursal!$C$4)</f>
        <v>0</v>
      </c>
      <c r="S44" s="187" t="e">
        <f t="shared" si="89"/>
        <v>#DIV/0!</v>
      </c>
      <c r="T44" s="115">
        <f>SUMIFS(Tabla_Registro_de_movimientos_app.accdb[Importe_Gasto],Tabla_Registro_de_movimientos_app.accdb[Sucursal],Sucursal!T$5,Tabla_Registro_de_movimientos_app.accdb[Detalle de movimiento],Sucursal!$A44,Tabla_Registro_de_movimientos_app.accdb[Fecha],"&gt;"&amp;Sucursal!$B$4,Tabla_Registro_de_movimientos_app.accdb[Fecha],"&lt;="&amp;Sucursal!$C$4)</f>
        <v>0</v>
      </c>
      <c r="U44" s="187" t="e">
        <f t="shared" si="90"/>
        <v>#DIV/0!</v>
      </c>
      <c r="V44">
        <f>SUMIFS(Tabla_Registro_de_movimientos_app.accdb[Importe_Gasto],Tabla_Registro_de_movimientos_app.accdb[Sucursal],Sucursal!V$5,Tabla_Registro_de_movimientos_app.accdb[Detalle de movimiento],Sucursal!$A44,Tabla_Registro_de_movimientos_app.accdb[Fecha],"&gt;"&amp;Sucursal!$B$4,Tabla_Registro_de_movimientos_app.accdb[Fecha],"&lt;="&amp;Sucursal!$C$4)</f>
        <v>0</v>
      </c>
      <c r="W44" s="187" t="e">
        <f t="shared" si="91"/>
        <v>#DIV/0!</v>
      </c>
      <c r="X44" s="115">
        <f>SUMIFS(Tabla_Registro_de_movimientos_app.accdb[Importe_Gasto],Tabla_Registro_de_movimientos_app.accdb[Sucursal],Sucursal!X$5,Tabla_Registro_de_movimientos_app.accdb[Detalle de movimiento],Sucursal!$A44,Tabla_Registro_de_movimientos_app.accdb[Fecha],"&gt;"&amp;Sucursal!$B$4,Tabla_Registro_de_movimientos_app.accdb[Fecha],"&lt;="&amp;Sucursal!$C$4)</f>
        <v>0</v>
      </c>
      <c r="Y44" s="187" t="e">
        <f t="shared" si="92"/>
        <v>#DIV/0!</v>
      </c>
      <c r="Z44" s="115">
        <f>SUMIFS(Tabla_Registro_de_movimientos_app.accdb[Importe_Gasto],Tabla_Registro_de_movimientos_app.accdb[Sucursal],Sucursal!Z$5,Tabla_Registro_de_movimientos_app.accdb[Detalle de movimiento],Sucursal!$A44,Tabla_Registro_de_movimientos_app.accdb[Fecha],"&gt;"&amp;Sucursal!$B$4,Tabla_Registro_de_movimientos_app.accdb[Fecha],"&lt;="&amp;Sucursal!$C$4)</f>
        <v>0</v>
      </c>
      <c r="AA44" s="187" t="e">
        <f t="shared" si="93"/>
        <v>#DIV/0!</v>
      </c>
      <c r="AB44" s="115">
        <f>SUMIFS(Tabla_Registro_de_movimientos_app.accdb[Importe_Gasto],Tabla_Registro_de_movimientos_app.accdb[Sucursal],Sucursal!AB$5,Tabla_Registro_de_movimientos_app.accdb[Detalle de movimiento],Sucursal!$A44,Tabla_Registro_de_movimientos_app.accdb[Fecha],"&gt;"&amp;Sucursal!$B$4,Tabla_Registro_de_movimientos_app.accdb[Fecha],"&lt;="&amp;Sucursal!$C$4)</f>
        <v>0</v>
      </c>
      <c r="AC44" s="187" t="e">
        <f t="shared" si="94"/>
        <v>#DIV/0!</v>
      </c>
      <c r="AD44" s="115">
        <f>SUMIFS(Tabla_Registro_de_movimientos_app.accdb[Importe_Gasto],Tabla_Registro_de_movimientos_app.accdb[Sucursal],Sucursal!AD$5,Tabla_Registro_de_movimientos_app.accdb[Detalle de movimiento],Sucursal!$A44,Tabla_Registro_de_movimientos_app.accdb[Fecha],"&gt;"&amp;Sucursal!$B$4,Tabla_Registro_de_movimientos_app.accdb[Fecha],"&lt;="&amp;Sucursal!$C$4)</f>
        <v>0</v>
      </c>
      <c r="AE44" s="187" t="e">
        <f t="shared" si="95"/>
        <v>#DIV/0!</v>
      </c>
      <c r="AF44" s="115">
        <f>SUMIFS(Tabla_Registro_de_movimientos_app.accdb[Importe_Gasto],Tabla_Registro_de_movimientos_app.accdb[Sucursal],Sucursal!AF$5,Tabla_Registro_de_movimientos_app.accdb[Detalle de movimiento],Sucursal!$A44,Tabla_Registro_de_movimientos_app.accdb[Fecha],"&gt;"&amp;Sucursal!$B$4,Tabla_Registro_de_movimientos_app.accdb[Fecha],"&lt;="&amp;Sucursal!$C$4)</f>
        <v>0</v>
      </c>
      <c r="AG44" s="187" t="e">
        <f t="shared" si="96"/>
        <v>#DIV/0!</v>
      </c>
      <c r="AH44" s="115">
        <f>SUMIFS(Tabla_Registro_de_movimientos_app.accdb[Importe_Gasto],Tabla_Registro_de_movimientos_app.accdb[Sucursal],Sucursal!AH$5,Tabla_Registro_de_movimientos_app.accdb[Detalle de movimiento],Sucursal!$A44,Tabla_Registro_de_movimientos_app.accdb[Fecha],"&gt;"&amp;Sucursal!$B$4,Tabla_Registro_de_movimientos_app.accdb[Fecha],"&lt;="&amp;Sucursal!$C$4)</f>
        <v>0</v>
      </c>
      <c r="AI44" s="187" t="e">
        <f t="shared" si="97"/>
        <v>#DIV/0!</v>
      </c>
      <c r="AJ44">
        <f>SUMIFS(Tabla_Registro_de_movimientos_app.accdb[Importe_Gasto],Tabla_Registro_de_movimientos_app.accdb[Sucursal],Sucursal!AJ$5,Tabla_Registro_de_movimientos_app.accdb[Detalle de movimiento],Sucursal!$A44,Tabla_Registro_de_movimientos_app.accdb[Fecha],"&gt;"&amp;Sucursal!$B$4,Tabla_Registro_de_movimientos_app.accdb[Fecha],"&lt;="&amp;Sucursal!$C$4)</f>
        <v>0</v>
      </c>
      <c r="AK44" s="187" t="e">
        <f t="shared" si="98"/>
        <v>#DIV/0!</v>
      </c>
      <c r="AM44" s="188">
        <f t="shared" si="99"/>
        <v>0</v>
      </c>
      <c r="AN44" s="189" t="e">
        <f t="shared" si="100"/>
        <v>#DIV/0!</v>
      </c>
    </row>
    <row r="45" spans="1:40" x14ac:dyDescent="0.25">
      <c r="A45" t="s">
        <v>43</v>
      </c>
      <c r="B45">
        <f>SUMIFS(Tabla_Registro_de_movimientos_app.accdb[Importe_Gasto],Tabla_Registro_de_movimientos_app.accdb[Sucursal],Sucursal!$B$5,Tabla_Registro_de_movimientos_app.accdb[Detalle de movimiento],Sucursal!A45,Tabla_Registro_de_movimientos_app.accdb[Fecha],"&gt;"&amp;Sucursal!$B$4,Tabla_Registro_de_movimientos_app.accdb[Fecha],"&lt;="&amp;Sucursal!$C$4)</f>
        <v>0</v>
      </c>
      <c r="C45" s="187" t="e">
        <f t="shared" si="81"/>
        <v>#DIV/0!</v>
      </c>
      <c r="D45">
        <f>SUMIFS(Tabla_Registro_de_movimientos_app.accdb[Importe_Gasto],Tabla_Registro_de_movimientos_app.accdb[Sucursal],Sucursal!D$5,Tabla_Registro_de_movimientos_app.accdb[Detalle de movimiento],Sucursal!$A45,Tabla_Registro_de_movimientos_app.accdb[Fecha],"&gt;"&amp;Sucursal!$B$4,Tabla_Registro_de_movimientos_app.accdb[Fecha],"&lt;="&amp;Sucursal!$C$4)</f>
        <v>0</v>
      </c>
      <c r="E45" s="187" t="e">
        <f t="shared" si="82"/>
        <v>#DIV/0!</v>
      </c>
      <c r="F45">
        <f>SUMIFS(Tabla_Registro_de_movimientos_app.accdb[Importe_Gasto],Tabla_Registro_de_movimientos_app.accdb[Sucursal],Sucursal!F$5,Tabla_Registro_de_movimientos_app.accdb[Detalle de movimiento],Sucursal!$A45,Tabla_Registro_de_movimientos_app.accdb[Fecha],"&gt;"&amp;Sucursal!$B$4,Tabla_Registro_de_movimientos_app.accdb[Fecha],"&lt;="&amp;Sucursal!$C$4)</f>
        <v>0</v>
      </c>
      <c r="G45" s="187" t="e">
        <f t="shared" ref="G45" si="108">F45/F$53</f>
        <v>#DIV/0!</v>
      </c>
      <c r="H45" s="115">
        <f>SUMIFS(Tabla_Registro_de_movimientos_app.accdb[Importe_Gasto],Tabla_Registro_de_movimientos_app.accdb[Sucursal],Sucursal!H$5,Tabla_Registro_de_movimientos_app.accdb[Detalle de movimiento],Sucursal!$A45,Tabla_Registro_de_movimientos_app.accdb[Fecha],"&gt;"&amp;Sucursal!$B$4,Tabla_Registro_de_movimientos_app.accdb[Fecha],"&lt;="&amp;Sucursal!$C$4)</f>
        <v>0</v>
      </c>
      <c r="I45" s="187" t="e">
        <f t="shared" si="84"/>
        <v>#DIV/0!</v>
      </c>
      <c r="J45">
        <f>SUMIFS(Tabla_Registro_de_movimientos_app.accdb[Importe_Gasto],Tabla_Registro_de_movimientos_app.accdb[Sucursal],Sucursal!J$5,Tabla_Registro_de_movimientos_app.accdb[Detalle de movimiento],Sucursal!$A45,Tabla_Registro_de_movimientos_app.accdb[Fecha],"&gt;"&amp;Sucursal!$B$4,Tabla_Registro_de_movimientos_app.accdb[Fecha],"&lt;="&amp;Sucursal!$C$4)</f>
        <v>0</v>
      </c>
      <c r="K45" s="187" t="e">
        <f t="shared" si="85"/>
        <v>#DIV/0!</v>
      </c>
      <c r="L45" s="115">
        <f>SUMIFS(Tabla_Registro_de_movimientos_app.accdb[Importe_Gasto],Tabla_Registro_de_movimientos_app.accdb[Sucursal],Sucursal!L$5,Tabla_Registro_de_movimientos_app.accdb[Detalle de movimiento],Sucursal!$A45,Tabla_Registro_de_movimientos_app.accdb[Fecha],"&gt;"&amp;Sucursal!$B$4,Tabla_Registro_de_movimientos_app.accdb[Fecha],"&lt;="&amp;Sucursal!$C$4)</f>
        <v>0</v>
      </c>
      <c r="M45" s="187" t="e">
        <f t="shared" si="86"/>
        <v>#DIV/0!</v>
      </c>
      <c r="N45">
        <f>SUMIFS(Tabla_Registro_de_movimientos_app.accdb[Importe_Gasto],Tabla_Registro_de_movimientos_app.accdb[Sucursal],Sucursal!N$5,Tabla_Registro_de_movimientos_app.accdb[Detalle de movimiento],Sucursal!$A45,Tabla_Registro_de_movimientos_app.accdb[Fecha],"&gt;"&amp;Sucursal!$B$4,Tabla_Registro_de_movimientos_app.accdb[Fecha],"&lt;="&amp;Sucursal!$C$4)</f>
        <v>0</v>
      </c>
      <c r="O45" s="187" t="e">
        <f t="shared" si="87"/>
        <v>#DIV/0!</v>
      </c>
      <c r="P45" s="115">
        <f>SUMIFS(Tabla_Registro_de_movimientos_app.accdb[Importe_Gasto],Tabla_Registro_de_movimientos_app.accdb[Sucursal],Sucursal!P$5,Tabla_Registro_de_movimientos_app.accdb[Detalle de movimiento],Sucursal!$A45,Tabla_Registro_de_movimientos_app.accdb[Fecha],"&gt;"&amp;Sucursal!$B$4,Tabla_Registro_de_movimientos_app.accdb[Fecha],"&lt;="&amp;Sucursal!$C$4)</f>
        <v>0</v>
      </c>
      <c r="Q45" s="187" t="e">
        <f t="shared" si="88"/>
        <v>#DIV/0!</v>
      </c>
      <c r="R45" s="115">
        <f>SUMIFS(Tabla_Registro_de_movimientos_app.accdb[Importe_Gasto],Tabla_Registro_de_movimientos_app.accdb[Sucursal],Sucursal!R$5,Tabla_Registro_de_movimientos_app.accdb[Detalle de movimiento],Sucursal!$A45,Tabla_Registro_de_movimientos_app.accdb[Fecha],"&gt;"&amp;Sucursal!$B$4,Tabla_Registro_de_movimientos_app.accdb[Fecha],"&lt;="&amp;Sucursal!$C$4)</f>
        <v>0</v>
      </c>
      <c r="S45" s="187" t="e">
        <f t="shared" si="89"/>
        <v>#DIV/0!</v>
      </c>
      <c r="T45" s="115">
        <f>SUMIFS(Tabla_Registro_de_movimientos_app.accdb[Importe_Gasto],Tabla_Registro_de_movimientos_app.accdb[Sucursal],Sucursal!T$5,Tabla_Registro_de_movimientos_app.accdb[Detalle de movimiento],Sucursal!$A45,Tabla_Registro_de_movimientos_app.accdb[Fecha],"&gt;"&amp;Sucursal!$B$4,Tabla_Registro_de_movimientos_app.accdb[Fecha],"&lt;="&amp;Sucursal!$C$4)</f>
        <v>0</v>
      </c>
      <c r="U45" s="187" t="e">
        <f t="shared" si="90"/>
        <v>#DIV/0!</v>
      </c>
      <c r="V45">
        <f>SUMIFS(Tabla_Registro_de_movimientos_app.accdb[Importe_Gasto],Tabla_Registro_de_movimientos_app.accdb[Sucursal],Sucursal!V$5,Tabla_Registro_de_movimientos_app.accdb[Detalle de movimiento],Sucursal!$A45,Tabla_Registro_de_movimientos_app.accdb[Fecha],"&gt;"&amp;Sucursal!$B$4,Tabla_Registro_de_movimientos_app.accdb[Fecha],"&lt;="&amp;Sucursal!$C$4)</f>
        <v>0</v>
      </c>
      <c r="W45" s="187" t="e">
        <f t="shared" si="91"/>
        <v>#DIV/0!</v>
      </c>
      <c r="X45" s="115">
        <f>SUMIFS(Tabla_Registro_de_movimientos_app.accdb[Importe_Gasto],Tabla_Registro_de_movimientos_app.accdb[Sucursal],Sucursal!X$5,Tabla_Registro_de_movimientos_app.accdb[Detalle de movimiento],Sucursal!$A45,Tabla_Registro_de_movimientos_app.accdb[Fecha],"&gt;"&amp;Sucursal!$B$4,Tabla_Registro_de_movimientos_app.accdb[Fecha],"&lt;="&amp;Sucursal!$C$4)</f>
        <v>0</v>
      </c>
      <c r="Y45" s="187" t="e">
        <f t="shared" si="92"/>
        <v>#DIV/0!</v>
      </c>
      <c r="Z45" s="115">
        <f>SUMIFS(Tabla_Registro_de_movimientos_app.accdb[Importe_Gasto],Tabla_Registro_de_movimientos_app.accdb[Sucursal],Sucursal!Z$5,Tabla_Registro_de_movimientos_app.accdb[Detalle de movimiento],Sucursal!$A45,Tabla_Registro_de_movimientos_app.accdb[Fecha],"&gt;"&amp;Sucursal!$B$4,Tabla_Registro_de_movimientos_app.accdb[Fecha],"&lt;="&amp;Sucursal!$C$4)</f>
        <v>0</v>
      </c>
      <c r="AA45" s="187" t="e">
        <f t="shared" si="93"/>
        <v>#DIV/0!</v>
      </c>
      <c r="AB45" s="115">
        <f>SUMIFS(Tabla_Registro_de_movimientos_app.accdb[Importe_Gasto],Tabla_Registro_de_movimientos_app.accdb[Sucursal],Sucursal!AB$5,Tabla_Registro_de_movimientos_app.accdb[Detalle de movimiento],Sucursal!$A45,Tabla_Registro_de_movimientos_app.accdb[Fecha],"&gt;"&amp;Sucursal!$B$4,Tabla_Registro_de_movimientos_app.accdb[Fecha],"&lt;="&amp;Sucursal!$C$4)</f>
        <v>0</v>
      </c>
      <c r="AC45" s="187" t="e">
        <f t="shared" si="94"/>
        <v>#DIV/0!</v>
      </c>
      <c r="AD45" s="115">
        <f>SUMIFS(Tabla_Registro_de_movimientos_app.accdb[Importe_Gasto],Tabla_Registro_de_movimientos_app.accdb[Sucursal],Sucursal!AD$5,Tabla_Registro_de_movimientos_app.accdb[Detalle de movimiento],Sucursal!$A45,Tabla_Registro_de_movimientos_app.accdb[Fecha],"&gt;"&amp;Sucursal!$B$4,Tabla_Registro_de_movimientos_app.accdb[Fecha],"&lt;="&amp;Sucursal!$C$4)</f>
        <v>0</v>
      </c>
      <c r="AE45" s="187" t="e">
        <f t="shared" si="95"/>
        <v>#DIV/0!</v>
      </c>
      <c r="AF45" s="115">
        <f>SUMIFS(Tabla_Registro_de_movimientos_app.accdb[Importe_Gasto],Tabla_Registro_de_movimientos_app.accdb[Sucursal],Sucursal!AF$5,Tabla_Registro_de_movimientos_app.accdb[Detalle de movimiento],Sucursal!$A45,Tabla_Registro_de_movimientos_app.accdb[Fecha],"&gt;"&amp;Sucursal!$B$4,Tabla_Registro_de_movimientos_app.accdb[Fecha],"&lt;="&amp;Sucursal!$C$4)</f>
        <v>0</v>
      </c>
      <c r="AG45" s="187" t="e">
        <f t="shared" si="96"/>
        <v>#DIV/0!</v>
      </c>
      <c r="AH45" s="115">
        <f>SUMIFS(Tabla_Registro_de_movimientos_app.accdb[Importe_Gasto],Tabla_Registro_de_movimientos_app.accdb[Sucursal],Sucursal!AH$5,Tabla_Registro_de_movimientos_app.accdb[Detalle de movimiento],Sucursal!$A45,Tabla_Registro_de_movimientos_app.accdb[Fecha],"&gt;"&amp;Sucursal!$B$4,Tabla_Registro_de_movimientos_app.accdb[Fecha],"&lt;="&amp;Sucursal!$C$4)</f>
        <v>0</v>
      </c>
      <c r="AI45" s="187" t="e">
        <f t="shared" si="97"/>
        <v>#DIV/0!</v>
      </c>
      <c r="AJ45">
        <f>SUMIFS(Tabla_Registro_de_movimientos_app.accdb[Importe_Gasto],Tabla_Registro_de_movimientos_app.accdb[Sucursal],Sucursal!AJ$5,Tabla_Registro_de_movimientos_app.accdb[Detalle de movimiento],Sucursal!$A45,Tabla_Registro_de_movimientos_app.accdb[Fecha],"&gt;"&amp;Sucursal!$B$4,Tabla_Registro_de_movimientos_app.accdb[Fecha],"&lt;="&amp;Sucursal!$C$4)</f>
        <v>0</v>
      </c>
      <c r="AK45" s="187" t="e">
        <f t="shared" si="98"/>
        <v>#DIV/0!</v>
      </c>
      <c r="AM45" s="188">
        <f t="shared" si="99"/>
        <v>0</v>
      </c>
      <c r="AN45" s="189" t="e">
        <f t="shared" si="100"/>
        <v>#DIV/0!</v>
      </c>
    </row>
    <row r="46" spans="1:40" x14ac:dyDescent="0.25">
      <c r="A46" t="s">
        <v>44</v>
      </c>
      <c r="B46">
        <f>SUMIFS(Tabla_Registro_de_movimientos_app.accdb[Importe_Gasto],Tabla_Registro_de_movimientos_app.accdb[Sucursal],Sucursal!$B$5,Tabla_Registro_de_movimientos_app.accdb[Detalle de movimiento],Sucursal!A46,Tabla_Registro_de_movimientos_app.accdb[Fecha],"&gt;"&amp;Sucursal!$B$4,Tabla_Registro_de_movimientos_app.accdb[Fecha],"&lt;="&amp;Sucursal!$C$4)</f>
        <v>0</v>
      </c>
      <c r="C46" s="187" t="e">
        <f t="shared" si="81"/>
        <v>#DIV/0!</v>
      </c>
      <c r="D46">
        <f>SUMIFS(Tabla_Registro_de_movimientos_app.accdb[Importe_Gasto],Tabla_Registro_de_movimientos_app.accdb[Sucursal],Sucursal!D$5,Tabla_Registro_de_movimientos_app.accdb[Detalle de movimiento],Sucursal!$A46,Tabla_Registro_de_movimientos_app.accdb[Fecha],"&gt;"&amp;Sucursal!$B$4,Tabla_Registro_de_movimientos_app.accdb[Fecha],"&lt;="&amp;Sucursal!$C$4)</f>
        <v>0</v>
      </c>
      <c r="E46" s="187" t="e">
        <f t="shared" si="82"/>
        <v>#DIV/0!</v>
      </c>
      <c r="F46">
        <f>SUMIFS(Tabla_Registro_de_movimientos_app.accdb[Importe_Gasto],Tabla_Registro_de_movimientos_app.accdb[Sucursal],Sucursal!F$5,Tabla_Registro_de_movimientos_app.accdb[Detalle de movimiento],Sucursal!$A46,Tabla_Registro_de_movimientos_app.accdb[Fecha],"&gt;"&amp;Sucursal!$B$4,Tabla_Registro_de_movimientos_app.accdb[Fecha],"&lt;="&amp;Sucursal!$C$4)</f>
        <v>0</v>
      </c>
      <c r="G46" s="187" t="e">
        <f t="shared" ref="G46" si="109">F46/F$53</f>
        <v>#DIV/0!</v>
      </c>
      <c r="H46" s="115">
        <f>SUMIFS(Tabla_Registro_de_movimientos_app.accdb[Importe_Gasto],Tabla_Registro_de_movimientos_app.accdb[Sucursal],Sucursal!H$5,Tabla_Registro_de_movimientos_app.accdb[Detalle de movimiento],Sucursal!$A46,Tabla_Registro_de_movimientos_app.accdb[Fecha],"&gt;"&amp;Sucursal!$B$4,Tabla_Registro_de_movimientos_app.accdb[Fecha],"&lt;="&amp;Sucursal!$C$4)</f>
        <v>0</v>
      </c>
      <c r="I46" s="187" t="e">
        <f t="shared" si="84"/>
        <v>#DIV/0!</v>
      </c>
      <c r="J46">
        <f>SUMIFS(Tabla_Registro_de_movimientos_app.accdb[Importe_Gasto],Tabla_Registro_de_movimientos_app.accdb[Sucursal],Sucursal!J$5,Tabla_Registro_de_movimientos_app.accdb[Detalle de movimiento],Sucursal!$A46,Tabla_Registro_de_movimientos_app.accdb[Fecha],"&gt;"&amp;Sucursal!$B$4,Tabla_Registro_de_movimientos_app.accdb[Fecha],"&lt;="&amp;Sucursal!$C$4)</f>
        <v>0</v>
      </c>
      <c r="K46" s="187" t="e">
        <f t="shared" si="85"/>
        <v>#DIV/0!</v>
      </c>
      <c r="L46">
        <f>SUMIFS(Tabla_Registro_de_movimientos_app.accdb[Importe_Gasto],Tabla_Registro_de_movimientos_app.accdb[Sucursal],Sucursal!L$5,Tabla_Registro_de_movimientos_app.accdb[Detalle de movimiento],Sucursal!$A46,Tabla_Registro_de_movimientos_app.accdb[Fecha],"&gt;"&amp;Sucursal!$B$4,Tabla_Registro_de_movimientos_app.accdb[Fecha],"&lt;="&amp;Sucursal!$C$4)</f>
        <v>0</v>
      </c>
      <c r="M46" s="187" t="e">
        <f t="shared" si="86"/>
        <v>#DIV/0!</v>
      </c>
      <c r="N46">
        <f>SUMIFS(Tabla_Registro_de_movimientos_app.accdb[Importe_Gasto],Tabla_Registro_de_movimientos_app.accdb[Sucursal],Sucursal!N$5,Tabla_Registro_de_movimientos_app.accdb[Detalle de movimiento],Sucursal!$A46,Tabla_Registro_de_movimientos_app.accdb[Fecha],"&gt;"&amp;Sucursal!$B$4,Tabla_Registro_de_movimientos_app.accdb[Fecha],"&lt;="&amp;Sucursal!$C$4)</f>
        <v>0</v>
      </c>
      <c r="O46" s="187" t="e">
        <f t="shared" si="87"/>
        <v>#DIV/0!</v>
      </c>
      <c r="P46">
        <f>SUMIFS(Tabla_Registro_de_movimientos_app.accdb[Importe_Gasto],Tabla_Registro_de_movimientos_app.accdb[Sucursal],Sucursal!P$5,Tabla_Registro_de_movimientos_app.accdb[Detalle de movimiento],Sucursal!$A46,Tabla_Registro_de_movimientos_app.accdb[Fecha],"&gt;"&amp;Sucursal!$B$4,Tabla_Registro_de_movimientos_app.accdb[Fecha],"&lt;="&amp;Sucursal!$C$4)</f>
        <v>0</v>
      </c>
      <c r="Q46" s="187" t="e">
        <f t="shared" si="88"/>
        <v>#DIV/0!</v>
      </c>
      <c r="R46" s="115">
        <f>SUMIFS(Tabla_Registro_de_movimientos_app.accdb[Importe_Gasto],Tabla_Registro_de_movimientos_app.accdb[Sucursal],Sucursal!R$5,Tabla_Registro_de_movimientos_app.accdb[Detalle de movimiento],Sucursal!$A46,Tabla_Registro_de_movimientos_app.accdb[Fecha],"&gt;"&amp;Sucursal!$B$4,Tabla_Registro_de_movimientos_app.accdb[Fecha],"&lt;="&amp;Sucursal!$C$4)</f>
        <v>0</v>
      </c>
      <c r="S46" s="187" t="e">
        <f t="shared" si="89"/>
        <v>#DIV/0!</v>
      </c>
      <c r="T46" s="115">
        <f>SUMIFS(Tabla_Registro_de_movimientos_app.accdb[Importe_Gasto],Tabla_Registro_de_movimientos_app.accdb[Sucursal],Sucursal!T$5,Tabla_Registro_de_movimientos_app.accdb[Detalle de movimiento],Sucursal!$A46,Tabla_Registro_de_movimientos_app.accdb[Fecha],"&gt;"&amp;Sucursal!$B$4,Tabla_Registro_de_movimientos_app.accdb[Fecha],"&lt;="&amp;Sucursal!$C$4)</f>
        <v>0</v>
      </c>
      <c r="U46" s="187" t="e">
        <f t="shared" si="90"/>
        <v>#DIV/0!</v>
      </c>
      <c r="V46">
        <f>SUMIFS(Tabla_Registro_de_movimientos_app.accdb[Importe_Gasto],Tabla_Registro_de_movimientos_app.accdb[Sucursal],Sucursal!V$5,Tabla_Registro_de_movimientos_app.accdb[Detalle de movimiento],Sucursal!$A46,Tabla_Registro_de_movimientos_app.accdb[Fecha],"&gt;"&amp;Sucursal!$B$4,Tabla_Registro_de_movimientos_app.accdb[Fecha],"&lt;="&amp;Sucursal!$C$4)</f>
        <v>0</v>
      </c>
      <c r="W46" s="187" t="e">
        <f t="shared" si="91"/>
        <v>#DIV/0!</v>
      </c>
      <c r="X46" s="115">
        <f>SUMIFS(Tabla_Registro_de_movimientos_app.accdb[Importe_Gasto],Tabla_Registro_de_movimientos_app.accdb[Sucursal],Sucursal!X$5,Tabla_Registro_de_movimientos_app.accdb[Detalle de movimiento],Sucursal!$A46,Tabla_Registro_de_movimientos_app.accdb[Fecha],"&gt;"&amp;Sucursal!$B$4,Tabla_Registro_de_movimientos_app.accdb[Fecha],"&lt;="&amp;Sucursal!$C$4)</f>
        <v>0</v>
      </c>
      <c r="Y46" s="187" t="e">
        <f t="shared" si="92"/>
        <v>#DIV/0!</v>
      </c>
      <c r="Z46" s="115">
        <f>SUMIFS(Tabla_Registro_de_movimientos_app.accdb[Importe_Gasto],Tabla_Registro_de_movimientos_app.accdb[Sucursal],Sucursal!Z$5,Tabla_Registro_de_movimientos_app.accdb[Detalle de movimiento],Sucursal!$A46,Tabla_Registro_de_movimientos_app.accdb[Fecha],"&gt;"&amp;Sucursal!$B$4,Tabla_Registro_de_movimientos_app.accdb[Fecha],"&lt;="&amp;Sucursal!$C$4)</f>
        <v>0</v>
      </c>
      <c r="AA46" s="187" t="e">
        <f t="shared" si="93"/>
        <v>#DIV/0!</v>
      </c>
      <c r="AB46" s="115">
        <f>SUMIFS(Tabla_Registro_de_movimientos_app.accdb[Importe_Gasto],Tabla_Registro_de_movimientos_app.accdb[Sucursal],Sucursal!AB$5,Tabla_Registro_de_movimientos_app.accdb[Detalle de movimiento],Sucursal!$A46,Tabla_Registro_de_movimientos_app.accdb[Fecha],"&gt;"&amp;Sucursal!$B$4,Tabla_Registro_de_movimientos_app.accdb[Fecha],"&lt;="&amp;Sucursal!$C$4)</f>
        <v>0</v>
      </c>
      <c r="AC46" s="187" t="e">
        <f t="shared" si="94"/>
        <v>#DIV/0!</v>
      </c>
      <c r="AD46" s="115">
        <f>SUMIFS(Tabla_Registro_de_movimientos_app.accdb[Importe_Gasto],Tabla_Registro_de_movimientos_app.accdb[Sucursal],Sucursal!AD$5,Tabla_Registro_de_movimientos_app.accdb[Detalle de movimiento],Sucursal!$A46,Tabla_Registro_de_movimientos_app.accdb[Fecha],"&gt;"&amp;Sucursal!$B$4,Tabla_Registro_de_movimientos_app.accdb[Fecha],"&lt;="&amp;Sucursal!$C$4)</f>
        <v>0</v>
      </c>
      <c r="AE46" s="187" t="e">
        <f t="shared" si="95"/>
        <v>#DIV/0!</v>
      </c>
      <c r="AF46" s="115">
        <f>SUMIFS(Tabla_Registro_de_movimientos_app.accdb[Importe_Gasto],Tabla_Registro_de_movimientos_app.accdb[Sucursal],Sucursal!AF$5,Tabla_Registro_de_movimientos_app.accdb[Detalle de movimiento],Sucursal!$A46,Tabla_Registro_de_movimientos_app.accdb[Fecha],"&gt;"&amp;Sucursal!$B$4,Tabla_Registro_de_movimientos_app.accdb[Fecha],"&lt;="&amp;Sucursal!$C$4)</f>
        <v>0</v>
      </c>
      <c r="AG46" s="187" t="e">
        <f t="shared" si="96"/>
        <v>#DIV/0!</v>
      </c>
      <c r="AH46" s="115">
        <f>SUMIFS(Tabla_Registro_de_movimientos_app.accdb[Importe_Gasto],Tabla_Registro_de_movimientos_app.accdb[Sucursal],Sucursal!AH$5,Tabla_Registro_de_movimientos_app.accdb[Detalle de movimiento],Sucursal!$A46,Tabla_Registro_de_movimientos_app.accdb[Fecha],"&gt;"&amp;Sucursal!$B$4,Tabla_Registro_de_movimientos_app.accdb[Fecha],"&lt;="&amp;Sucursal!$C$4)</f>
        <v>0</v>
      </c>
      <c r="AI46" s="187" t="e">
        <f t="shared" si="97"/>
        <v>#DIV/0!</v>
      </c>
      <c r="AJ46">
        <f>SUMIFS(Tabla_Registro_de_movimientos_app.accdb[Importe_Gasto],Tabla_Registro_de_movimientos_app.accdb[Sucursal],Sucursal!AJ$5,Tabla_Registro_de_movimientos_app.accdb[Detalle de movimiento],Sucursal!$A46,Tabla_Registro_de_movimientos_app.accdb[Fecha],"&gt;"&amp;Sucursal!$B$4,Tabla_Registro_de_movimientos_app.accdb[Fecha],"&lt;="&amp;Sucursal!$C$4)</f>
        <v>0</v>
      </c>
      <c r="AK46" s="187" t="e">
        <f t="shared" si="98"/>
        <v>#DIV/0!</v>
      </c>
      <c r="AM46" s="188">
        <f t="shared" si="99"/>
        <v>0</v>
      </c>
      <c r="AN46" s="189" t="e">
        <f t="shared" si="100"/>
        <v>#DIV/0!</v>
      </c>
    </row>
    <row r="47" spans="1:40" x14ac:dyDescent="0.25">
      <c r="A47" t="s">
        <v>45</v>
      </c>
      <c r="B47">
        <f>SUMIFS(Tabla_Registro_de_movimientos_app.accdb[Importe_Gasto],Tabla_Registro_de_movimientos_app.accdb[Sucursal],Sucursal!$B$5,Tabla_Registro_de_movimientos_app.accdb[Detalle de movimiento],Sucursal!A47,Tabla_Registro_de_movimientos_app.accdb[Fecha],"&gt;"&amp;Sucursal!$B$4,Tabla_Registro_de_movimientos_app.accdb[Fecha],"&lt;="&amp;Sucursal!$C$4)</f>
        <v>0</v>
      </c>
      <c r="C47" s="187" t="e">
        <f t="shared" si="81"/>
        <v>#DIV/0!</v>
      </c>
      <c r="D47">
        <f>SUMIFS(Tabla_Registro_de_movimientos_app.accdb[Importe_Gasto],Tabla_Registro_de_movimientos_app.accdb[Sucursal],Sucursal!D$5,Tabla_Registro_de_movimientos_app.accdb[Detalle de movimiento],Sucursal!$A47,Tabla_Registro_de_movimientos_app.accdb[Fecha],"&gt;"&amp;Sucursal!$B$4,Tabla_Registro_de_movimientos_app.accdb[Fecha],"&lt;="&amp;Sucursal!$C$4)</f>
        <v>0</v>
      </c>
      <c r="E47" s="187" t="e">
        <f t="shared" si="82"/>
        <v>#DIV/0!</v>
      </c>
      <c r="F47">
        <f>SUMIFS(Tabla_Registro_de_movimientos_app.accdb[Importe_Gasto],Tabla_Registro_de_movimientos_app.accdb[Sucursal],Sucursal!F$5,Tabla_Registro_de_movimientos_app.accdb[Detalle de movimiento],Sucursal!$A47,Tabla_Registro_de_movimientos_app.accdb[Fecha],"&gt;"&amp;Sucursal!$B$4,Tabla_Registro_de_movimientos_app.accdb[Fecha],"&lt;="&amp;Sucursal!$C$4)</f>
        <v>0</v>
      </c>
      <c r="G47" s="187" t="e">
        <f t="shared" ref="G47" si="110">F47/F$53</f>
        <v>#DIV/0!</v>
      </c>
      <c r="H47">
        <f>SUMIFS(Tabla_Registro_de_movimientos_app.accdb[Importe_Gasto],Tabla_Registro_de_movimientos_app.accdb[Sucursal],Sucursal!H$5,Tabla_Registro_de_movimientos_app.accdb[Detalle de movimiento],Sucursal!$A47,Tabla_Registro_de_movimientos_app.accdb[Fecha],"&gt;"&amp;Sucursal!$B$4,Tabla_Registro_de_movimientos_app.accdb[Fecha],"&lt;="&amp;Sucursal!$C$4)</f>
        <v>0</v>
      </c>
      <c r="I47" s="187" t="e">
        <f t="shared" si="84"/>
        <v>#DIV/0!</v>
      </c>
      <c r="J47">
        <f>SUMIFS(Tabla_Registro_de_movimientos_app.accdb[Importe_Gasto],Tabla_Registro_de_movimientos_app.accdb[Sucursal],Sucursal!J$5,Tabla_Registro_de_movimientos_app.accdb[Detalle de movimiento],Sucursal!$A47,Tabla_Registro_de_movimientos_app.accdb[Fecha],"&gt;"&amp;Sucursal!$B$4,Tabla_Registro_de_movimientos_app.accdb[Fecha],"&lt;="&amp;Sucursal!$C$4)</f>
        <v>0</v>
      </c>
      <c r="K47" s="187" t="e">
        <f t="shared" si="85"/>
        <v>#DIV/0!</v>
      </c>
      <c r="L47">
        <f>SUMIFS(Tabla_Registro_de_movimientos_app.accdb[Importe_Gasto],Tabla_Registro_de_movimientos_app.accdb[Sucursal],Sucursal!L$5,Tabla_Registro_de_movimientos_app.accdb[Detalle de movimiento],Sucursal!$A47,Tabla_Registro_de_movimientos_app.accdb[Fecha],"&gt;"&amp;Sucursal!$B$4,Tabla_Registro_de_movimientos_app.accdb[Fecha],"&lt;="&amp;Sucursal!$C$4)</f>
        <v>0</v>
      </c>
      <c r="M47" s="187" t="e">
        <f t="shared" si="86"/>
        <v>#DIV/0!</v>
      </c>
      <c r="N47">
        <f>SUMIFS(Tabla_Registro_de_movimientos_app.accdb[Importe_Gasto],Tabla_Registro_de_movimientos_app.accdb[Sucursal],Sucursal!N$5,Tabla_Registro_de_movimientos_app.accdb[Detalle de movimiento],Sucursal!$A47,Tabla_Registro_de_movimientos_app.accdb[Fecha],"&gt;"&amp;Sucursal!$B$4,Tabla_Registro_de_movimientos_app.accdb[Fecha],"&lt;="&amp;Sucursal!$C$4)</f>
        <v>0</v>
      </c>
      <c r="O47" s="187" t="e">
        <f t="shared" si="87"/>
        <v>#DIV/0!</v>
      </c>
      <c r="P47">
        <f>SUMIFS(Tabla_Registro_de_movimientos_app.accdb[Importe_Gasto],Tabla_Registro_de_movimientos_app.accdb[Sucursal],Sucursal!P$5,Tabla_Registro_de_movimientos_app.accdb[Detalle de movimiento],Sucursal!$A47,Tabla_Registro_de_movimientos_app.accdb[Fecha],"&gt;"&amp;Sucursal!$B$4,Tabla_Registro_de_movimientos_app.accdb[Fecha],"&lt;="&amp;Sucursal!$C$4)</f>
        <v>0</v>
      </c>
      <c r="Q47" s="187" t="e">
        <f t="shared" si="88"/>
        <v>#DIV/0!</v>
      </c>
      <c r="R47" s="115">
        <f>SUMIFS(Tabla_Registro_de_movimientos_app.accdb[Importe_Gasto],Tabla_Registro_de_movimientos_app.accdb[Sucursal],Sucursal!R$5,Tabla_Registro_de_movimientos_app.accdb[Detalle de movimiento],Sucursal!$A47,Tabla_Registro_de_movimientos_app.accdb[Fecha],"&gt;"&amp;Sucursal!$B$4,Tabla_Registro_de_movimientos_app.accdb[Fecha],"&lt;="&amp;Sucursal!$C$4)</f>
        <v>0</v>
      </c>
      <c r="S47" s="187" t="e">
        <f t="shared" si="89"/>
        <v>#DIV/0!</v>
      </c>
      <c r="T47" s="115">
        <f>SUMIFS(Tabla_Registro_de_movimientos_app.accdb[Importe_Gasto],Tabla_Registro_de_movimientos_app.accdb[Sucursal],Sucursal!T$5,Tabla_Registro_de_movimientos_app.accdb[Detalle de movimiento],Sucursal!$A47,Tabla_Registro_de_movimientos_app.accdb[Fecha],"&gt;"&amp;Sucursal!$B$4,Tabla_Registro_de_movimientos_app.accdb[Fecha],"&lt;="&amp;Sucursal!$C$4)</f>
        <v>0</v>
      </c>
      <c r="U47" s="187" t="e">
        <f t="shared" si="90"/>
        <v>#DIV/0!</v>
      </c>
      <c r="V47">
        <f>SUMIFS(Tabla_Registro_de_movimientos_app.accdb[Importe_Gasto],Tabla_Registro_de_movimientos_app.accdb[Sucursal],Sucursal!V$5,Tabla_Registro_de_movimientos_app.accdb[Detalle de movimiento],Sucursal!$A47,Tabla_Registro_de_movimientos_app.accdb[Fecha],"&gt;"&amp;Sucursal!$B$4,Tabla_Registro_de_movimientos_app.accdb[Fecha],"&lt;="&amp;Sucursal!$C$4)</f>
        <v>0</v>
      </c>
      <c r="W47" s="187" t="e">
        <f t="shared" si="91"/>
        <v>#DIV/0!</v>
      </c>
      <c r="X47" s="115">
        <f>SUMIFS(Tabla_Registro_de_movimientos_app.accdb[Importe_Gasto],Tabla_Registro_de_movimientos_app.accdb[Sucursal],Sucursal!X$5,Tabla_Registro_de_movimientos_app.accdb[Detalle de movimiento],Sucursal!$A47,Tabla_Registro_de_movimientos_app.accdb[Fecha],"&gt;"&amp;Sucursal!$B$4,Tabla_Registro_de_movimientos_app.accdb[Fecha],"&lt;="&amp;Sucursal!$C$4)</f>
        <v>0</v>
      </c>
      <c r="Y47" s="187" t="e">
        <f t="shared" si="92"/>
        <v>#DIV/0!</v>
      </c>
      <c r="Z47" s="115">
        <f>SUMIFS(Tabla_Registro_de_movimientos_app.accdb[Importe_Gasto],Tabla_Registro_de_movimientos_app.accdb[Sucursal],Sucursal!Z$5,Tabla_Registro_de_movimientos_app.accdb[Detalle de movimiento],Sucursal!$A47,Tabla_Registro_de_movimientos_app.accdb[Fecha],"&gt;"&amp;Sucursal!$B$4,Tabla_Registro_de_movimientos_app.accdb[Fecha],"&lt;="&amp;Sucursal!$C$4)</f>
        <v>0</v>
      </c>
      <c r="AA47" s="187" t="e">
        <f t="shared" si="93"/>
        <v>#DIV/0!</v>
      </c>
      <c r="AB47" s="115">
        <f>SUMIFS(Tabla_Registro_de_movimientos_app.accdb[Importe_Gasto],Tabla_Registro_de_movimientos_app.accdb[Sucursal],Sucursal!AB$5,Tabla_Registro_de_movimientos_app.accdb[Detalle de movimiento],Sucursal!$A47,Tabla_Registro_de_movimientos_app.accdb[Fecha],"&gt;"&amp;Sucursal!$B$4,Tabla_Registro_de_movimientos_app.accdb[Fecha],"&lt;="&amp;Sucursal!$C$4)</f>
        <v>0</v>
      </c>
      <c r="AC47" s="187" t="e">
        <f t="shared" si="94"/>
        <v>#DIV/0!</v>
      </c>
      <c r="AD47" s="115">
        <f>SUMIFS(Tabla_Registro_de_movimientos_app.accdb[Importe_Gasto],Tabla_Registro_de_movimientos_app.accdb[Sucursal],Sucursal!AD$5,Tabla_Registro_de_movimientos_app.accdb[Detalle de movimiento],Sucursal!$A47,Tabla_Registro_de_movimientos_app.accdb[Fecha],"&gt;"&amp;Sucursal!$B$4,Tabla_Registro_de_movimientos_app.accdb[Fecha],"&lt;="&amp;Sucursal!$C$4)</f>
        <v>0</v>
      </c>
      <c r="AE47" s="187" t="e">
        <f t="shared" si="95"/>
        <v>#DIV/0!</v>
      </c>
      <c r="AF47" s="115">
        <f>SUMIFS(Tabla_Registro_de_movimientos_app.accdb[Importe_Gasto],Tabla_Registro_de_movimientos_app.accdb[Sucursal],Sucursal!AF$5,Tabla_Registro_de_movimientos_app.accdb[Detalle de movimiento],Sucursal!$A47,Tabla_Registro_de_movimientos_app.accdb[Fecha],"&gt;"&amp;Sucursal!$B$4,Tabla_Registro_de_movimientos_app.accdb[Fecha],"&lt;="&amp;Sucursal!$C$4)</f>
        <v>0</v>
      </c>
      <c r="AG47" s="187" t="e">
        <f t="shared" si="96"/>
        <v>#DIV/0!</v>
      </c>
      <c r="AH47" s="115">
        <f>SUMIFS(Tabla_Registro_de_movimientos_app.accdb[Importe_Gasto],Tabla_Registro_de_movimientos_app.accdb[Sucursal],Sucursal!AH$5,Tabla_Registro_de_movimientos_app.accdb[Detalle de movimiento],Sucursal!$A47,Tabla_Registro_de_movimientos_app.accdb[Fecha],"&gt;"&amp;Sucursal!$B$4,Tabla_Registro_de_movimientos_app.accdb[Fecha],"&lt;="&amp;Sucursal!$C$4)</f>
        <v>0</v>
      </c>
      <c r="AI47" s="187" t="e">
        <f t="shared" si="97"/>
        <v>#DIV/0!</v>
      </c>
      <c r="AJ47">
        <f>SUMIFS(Tabla_Registro_de_movimientos_app.accdb[Importe_Gasto],Tabla_Registro_de_movimientos_app.accdb[Sucursal],Sucursal!AJ$5,Tabla_Registro_de_movimientos_app.accdb[Detalle de movimiento],Sucursal!$A47,Tabla_Registro_de_movimientos_app.accdb[Fecha],"&gt;"&amp;Sucursal!$B$4,Tabla_Registro_de_movimientos_app.accdb[Fecha],"&lt;="&amp;Sucursal!$C$4)</f>
        <v>0</v>
      </c>
      <c r="AK47" s="187" t="e">
        <f t="shared" si="98"/>
        <v>#DIV/0!</v>
      </c>
      <c r="AM47" s="188">
        <f t="shared" si="99"/>
        <v>0</v>
      </c>
      <c r="AN47" s="189" t="e">
        <f t="shared" si="100"/>
        <v>#DIV/0!</v>
      </c>
    </row>
    <row r="48" spans="1:40" x14ac:dyDescent="0.25">
      <c r="A48" t="s">
        <v>46</v>
      </c>
      <c r="B48">
        <f>SUMIFS(Tabla_Registro_de_movimientos_app.accdb[Importe_Gasto],Tabla_Registro_de_movimientos_app.accdb[Sucursal],Sucursal!$B$5,Tabla_Registro_de_movimientos_app.accdb[Detalle de movimiento],Sucursal!A48,Tabla_Registro_de_movimientos_app.accdb[Fecha],"&gt;"&amp;Sucursal!$B$4,Tabla_Registro_de_movimientos_app.accdb[Fecha],"&lt;="&amp;Sucursal!$C$4)</f>
        <v>0</v>
      </c>
      <c r="C48" s="187" t="e">
        <f t="shared" si="81"/>
        <v>#DIV/0!</v>
      </c>
      <c r="D48">
        <f>SUMIFS(Tabla_Registro_de_movimientos_app.accdb[Importe_Gasto],Tabla_Registro_de_movimientos_app.accdb[Sucursal],Sucursal!D$5,Tabla_Registro_de_movimientos_app.accdb[Detalle de movimiento],Sucursal!$A48,Tabla_Registro_de_movimientos_app.accdb[Fecha],"&gt;"&amp;Sucursal!$B$4,Tabla_Registro_de_movimientos_app.accdb[Fecha],"&lt;="&amp;Sucursal!$C$4)</f>
        <v>0</v>
      </c>
      <c r="E48" s="187" t="e">
        <f t="shared" si="82"/>
        <v>#DIV/0!</v>
      </c>
      <c r="F48">
        <f>SUMIFS(Tabla_Registro_de_movimientos_app.accdb[Importe_Gasto],Tabla_Registro_de_movimientos_app.accdb[Sucursal],Sucursal!F$5,Tabla_Registro_de_movimientos_app.accdb[Detalle de movimiento],Sucursal!$A48,Tabla_Registro_de_movimientos_app.accdb[Fecha],"&gt;"&amp;Sucursal!$B$4,Tabla_Registro_de_movimientos_app.accdb[Fecha],"&lt;="&amp;Sucursal!$C$4)</f>
        <v>0</v>
      </c>
      <c r="G48" s="187" t="e">
        <f t="shared" ref="G48" si="111">F48/F$53</f>
        <v>#DIV/0!</v>
      </c>
      <c r="H48">
        <f>SUMIFS(Tabla_Registro_de_movimientos_app.accdb[Importe_Gasto],Tabla_Registro_de_movimientos_app.accdb[Sucursal],Sucursal!H$5,Tabla_Registro_de_movimientos_app.accdb[Detalle de movimiento],Sucursal!$A48,Tabla_Registro_de_movimientos_app.accdb[Fecha],"&gt;"&amp;Sucursal!$B$4,Tabla_Registro_de_movimientos_app.accdb[Fecha],"&lt;="&amp;Sucursal!$C$4)</f>
        <v>0</v>
      </c>
      <c r="I48" s="187" t="e">
        <f t="shared" si="84"/>
        <v>#DIV/0!</v>
      </c>
      <c r="J48">
        <f>SUMIFS(Tabla_Registro_de_movimientos_app.accdb[Importe_Gasto],Tabla_Registro_de_movimientos_app.accdb[Sucursal],Sucursal!J$5,Tabla_Registro_de_movimientos_app.accdb[Detalle de movimiento],Sucursal!$A48,Tabla_Registro_de_movimientos_app.accdb[Fecha],"&gt;"&amp;Sucursal!$B$4,Tabla_Registro_de_movimientos_app.accdb[Fecha],"&lt;="&amp;Sucursal!$C$4)</f>
        <v>0</v>
      </c>
      <c r="K48" s="187" t="e">
        <f t="shared" si="85"/>
        <v>#DIV/0!</v>
      </c>
      <c r="L48">
        <f>SUMIFS(Tabla_Registro_de_movimientos_app.accdb[Importe_Gasto],Tabla_Registro_de_movimientos_app.accdb[Sucursal],Sucursal!L$5,Tabla_Registro_de_movimientos_app.accdb[Detalle de movimiento],Sucursal!$A48,Tabla_Registro_de_movimientos_app.accdb[Fecha],"&gt;"&amp;Sucursal!$B$4,Tabla_Registro_de_movimientos_app.accdb[Fecha],"&lt;="&amp;Sucursal!$C$4)</f>
        <v>0</v>
      </c>
      <c r="M48" s="187" t="e">
        <f t="shared" si="86"/>
        <v>#DIV/0!</v>
      </c>
      <c r="N48">
        <f>SUMIFS(Tabla_Registro_de_movimientos_app.accdb[Importe_Gasto],Tabla_Registro_de_movimientos_app.accdb[Sucursal],Sucursal!N$5,Tabla_Registro_de_movimientos_app.accdb[Detalle de movimiento],Sucursal!$A48,Tabla_Registro_de_movimientos_app.accdb[Fecha],"&gt;"&amp;Sucursal!$B$4,Tabla_Registro_de_movimientos_app.accdb[Fecha],"&lt;="&amp;Sucursal!$C$4)</f>
        <v>0</v>
      </c>
      <c r="O48" s="187" t="e">
        <f t="shared" si="87"/>
        <v>#DIV/0!</v>
      </c>
      <c r="P48">
        <f>SUMIFS(Tabla_Registro_de_movimientos_app.accdb[Importe_Gasto],Tabla_Registro_de_movimientos_app.accdb[Sucursal],Sucursal!P$5,Tabla_Registro_de_movimientos_app.accdb[Detalle de movimiento],Sucursal!$A48,Tabla_Registro_de_movimientos_app.accdb[Fecha],"&gt;"&amp;Sucursal!$B$4,Tabla_Registro_de_movimientos_app.accdb[Fecha],"&lt;="&amp;Sucursal!$C$4)</f>
        <v>0</v>
      </c>
      <c r="Q48" s="187" t="e">
        <f t="shared" si="88"/>
        <v>#DIV/0!</v>
      </c>
      <c r="R48" s="115">
        <f>SUMIFS(Tabla_Registro_de_movimientos_app.accdb[Importe_Gasto],Tabla_Registro_de_movimientos_app.accdb[Sucursal],Sucursal!R$5,Tabla_Registro_de_movimientos_app.accdb[Detalle de movimiento],Sucursal!$A48,Tabla_Registro_de_movimientos_app.accdb[Fecha],"&gt;"&amp;Sucursal!$B$4,Tabla_Registro_de_movimientos_app.accdb[Fecha],"&lt;="&amp;Sucursal!$C$4)</f>
        <v>0</v>
      </c>
      <c r="S48" s="187" t="e">
        <f t="shared" si="89"/>
        <v>#DIV/0!</v>
      </c>
      <c r="T48" s="115">
        <f>SUMIFS(Tabla_Registro_de_movimientos_app.accdb[Importe_Gasto],Tabla_Registro_de_movimientos_app.accdb[Sucursal],Sucursal!T$5,Tabla_Registro_de_movimientos_app.accdb[Detalle de movimiento],Sucursal!$A48,Tabla_Registro_de_movimientos_app.accdb[Fecha],"&gt;"&amp;Sucursal!$B$4,Tabla_Registro_de_movimientos_app.accdb[Fecha],"&lt;="&amp;Sucursal!$C$4)</f>
        <v>0</v>
      </c>
      <c r="U48" s="187" t="e">
        <f t="shared" si="90"/>
        <v>#DIV/0!</v>
      </c>
      <c r="V48">
        <f>SUMIFS(Tabla_Registro_de_movimientos_app.accdb[Importe_Gasto],Tabla_Registro_de_movimientos_app.accdb[Sucursal],Sucursal!V$5,Tabla_Registro_de_movimientos_app.accdb[Detalle de movimiento],Sucursal!$A48,Tabla_Registro_de_movimientos_app.accdb[Fecha],"&gt;"&amp;Sucursal!$B$4,Tabla_Registro_de_movimientos_app.accdb[Fecha],"&lt;="&amp;Sucursal!$C$4)</f>
        <v>0</v>
      </c>
      <c r="W48" s="187" t="e">
        <f t="shared" si="91"/>
        <v>#DIV/0!</v>
      </c>
      <c r="X48" s="115">
        <f>SUMIFS(Tabla_Registro_de_movimientos_app.accdb[Importe_Gasto],Tabla_Registro_de_movimientos_app.accdb[Sucursal],Sucursal!X$5,Tabla_Registro_de_movimientos_app.accdb[Detalle de movimiento],Sucursal!$A48,Tabla_Registro_de_movimientos_app.accdb[Fecha],"&gt;"&amp;Sucursal!$B$4,Tabla_Registro_de_movimientos_app.accdb[Fecha],"&lt;="&amp;Sucursal!$C$4)</f>
        <v>0</v>
      </c>
      <c r="Y48" s="187" t="e">
        <f t="shared" si="92"/>
        <v>#DIV/0!</v>
      </c>
      <c r="Z48" s="115">
        <f>SUMIFS(Tabla_Registro_de_movimientos_app.accdb[Importe_Gasto],Tabla_Registro_de_movimientos_app.accdb[Sucursal],Sucursal!Z$5,Tabla_Registro_de_movimientos_app.accdb[Detalle de movimiento],Sucursal!$A48,Tabla_Registro_de_movimientos_app.accdb[Fecha],"&gt;"&amp;Sucursal!$B$4,Tabla_Registro_de_movimientos_app.accdb[Fecha],"&lt;="&amp;Sucursal!$C$4)</f>
        <v>0</v>
      </c>
      <c r="AA48" s="187" t="e">
        <f t="shared" si="93"/>
        <v>#DIV/0!</v>
      </c>
      <c r="AB48" s="115">
        <f>SUMIFS(Tabla_Registro_de_movimientos_app.accdb[Importe_Gasto],Tabla_Registro_de_movimientos_app.accdb[Sucursal],Sucursal!AB$5,Tabla_Registro_de_movimientos_app.accdb[Detalle de movimiento],Sucursal!$A48,Tabla_Registro_de_movimientos_app.accdb[Fecha],"&gt;"&amp;Sucursal!$B$4,Tabla_Registro_de_movimientos_app.accdb[Fecha],"&lt;="&amp;Sucursal!$C$4)</f>
        <v>0</v>
      </c>
      <c r="AC48" s="187" t="e">
        <f t="shared" si="94"/>
        <v>#DIV/0!</v>
      </c>
      <c r="AD48" s="115">
        <f>SUMIFS(Tabla_Registro_de_movimientos_app.accdb[Importe_Gasto],Tabla_Registro_de_movimientos_app.accdb[Sucursal],Sucursal!AD$5,Tabla_Registro_de_movimientos_app.accdb[Detalle de movimiento],Sucursal!$A48,Tabla_Registro_de_movimientos_app.accdb[Fecha],"&gt;"&amp;Sucursal!$B$4,Tabla_Registro_de_movimientos_app.accdb[Fecha],"&lt;="&amp;Sucursal!$C$4)</f>
        <v>0</v>
      </c>
      <c r="AE48" s="187" t="e">
        <f t="shared" si="95"/>
        <v>#DIV/0!</v>
      </c>
      <c r="AF48" s="115">
        <f>SUMIFS(Tabla_Registro_de_movimientos_app.accdb[Importe_Gasto],Tabla_Registro_de_movimientos_app.accdb[Sucursal],Sucursal!AF$5,Tabla_Registro_de_movimientos_app.accdb[Detalle de movimiento],Sucursal!$A48,Tabla_Registro_de_movimientos_app.accdb[Fecha],"&gt;"&amp;Sucursal!$B$4,Tabla_Registro_de_movimientos_app.accdb[Fecha],"&lt;="&amp;Sucursal!$C$4)</f>
        <v>0</v>
      </c>
      <c r="AG48" s="187" t="e">
        <f t="shared" si="96"/>
        <v>#DIV/0!</v>
      </c>
      <c r="AH48" s="115">
        <f>SUMIFS(Tabla_Registro_de_movimientos_app.accdb[Importe_Gasto],Tabla_Registro_de_movimientos_app.accdb[Sucursal],Sucursal!AH$5,Tabla_Registro_de_movimientos_app.accdb[Detalle de movimiento],Sucursal!$A48,Tabla_Registro_de_movimientos_app.accdb[Fecha],"&gt;"&amp;Sucursal!$B$4,Tabla_Registro_de_movimientos_app.accdb[Fecha],"&lt;="&amp;Sucursal!$C$4)</f>
        <v>0</v>
      </c>
      <c r="AI48" s="187" t="e">
        <f t="shared" si="97"/>
        <v>#DIV/0!</v>
      </c>
      <c r="AJ48">
        <f>SUMIFS(Tabla_Registro_de_movimientos_app.accdb[Importe_Gasto],Tabla_Registro_de_movimientos_app.accdb[Sucursal],Sucursal!AJ$5,Tabla_Registro_de_movimientos_app.accdb[Detalle de movimiento],Sucursal!$A48,Tabla_Registro_de_movimientos_app.accdb[Fecha],"&gt;"&amp;Sucursal!$B$4,Tabla_Registro_de_movimientos_app.accdb[Fecha],"&lt;="&amp;Sucursal!$C$4)</f>
        <v>0</v>
      </c>
      <c r="AK48" s="187" t="e">
        <f t="shared" si="98"/>
        <v>#DIV/0!</v>
      </c>
      <c r="AM48" s="188">
        <f t="shared" si="99"/>
        <v>0</v>
      </c>
      <c r="AN48" s="189" t="e">
        <f t="shared" si="100"/>
        <v>#DIV/0!</v>
      </c>
    </row>
    <row r="49" spans="1:40" x14ac:dyDescent="0.25">
      <c r="A49" t="s">
        <v>47</v>
      </c>
      <c r="B49">
        <f>SUMIFS(Tabla_Registro_de_movimientos_app.accdb[Importe_Gasto],Tabla_Registro_de_movimientos_app.accdb[Sucursal],Sucursal!$B$5,Tabla_Registro_de_movimientos_app.accdb[Detalle de movimiento],Sucursal!A49,Tabla_Registro_de_movimientos_app.accdb[Fecha],"&gt;"&amp;Sucursal!$B$4,Tabla_Registro_de_movimientos_app.accdb[Fecha],"&lt;="&amp;Sucursal!$C$4)</f>
        <v>0</v>
      </c>
      <c r="C49" s="187" t="e">
        <f t="shared" si="81"/>
        <v>#DIV/0!</v>
      </c>
      <c r="D49">
        <f>SUMIFS(Tabla_Registro_de_movimientos_app.accdb[Importe_Gasto],Tabla_Registro_de_movimientos_app.accdb[Sucursal],Sucursal!D$5,Tabla_Registro_de_movimientos_app.accdb[Detalle de movimiento],Sucursal!$A49,Tabla_Registro_de_movimientos_app.accdb[Fecha],"&gt;"&amp;Sucursal!$B$4,Tabla_Registro_de_movimientos_app.accdb[Fecha],"&lt;="&amp;Sucursal!$C$4)</f>
        <v>0</v>
      </c>
      <c r="E49" s="187" t="e">
        <f t="shared" si="82"/>
        <v>#DIV/0!</v>
      </c>
      <c r="F49">
        <f>SUMIFS(Tabla_Registro_de_movimientos_app.accdb[Importe_Gasto],Tabla_Registro_de_movimientos_app.accdb[Sucursal],Sucursal!F$5,Tabla_Registro_de_movimientos_app.accdb[Detalle de movimiento],Sucursal!$A49,Tabla_Registro_de_movimientos_app.accdb[Fecha],"&gt;"&amp;Sucursal!$B$4,Tabla_Registro_de_movimientos_app.accdb[Fecha],"&lt;="&amp;Sucursal!$C$4)</f>
        <v>0</v>
      </c>
      <c r="G49" s="187" t="e">
        <f t="shared" ref="G49" si="112">F49/F$53</f>
        <v>#DIV/0!</v>
      </c>
      <c r="H49">
        <f>SUMIFS(Tabla_Registro_de_movimientos_app.accdb[Importe_Gasto],Tabla_Registro_de_movimientos_app.accdb[Sucursal],Sucursal!H$5,Tabla_Registro_de_movimientos_app.accdb[Detalle de movimiento],Sucursal!$A49,Tabla_Registro_de_movimientos_app.accdb[Fecha],"&gt;"&amp;Sucursal!$B$4,Tabla_Registro_de_movimientos_app.accdb[Fecha],"&lt;="&amp;Sucursal!$C$4)</f>
        <v>0</v>
      </c>
      <c r="I49" s="187" t="e">
        <f t="shared" si="84"/>
        <v>#DIV/0!</v>
      </c>
      <c r="J49">
        <f>SUMIFS(Tabla_Registro_de_movimientos_app.accdb[Importe_Gasto],Tabla_Registro_de_movimientos_app.accdb[Sucursal],Sucursal!J$5,Tabla_Registro_de_movimientos_app.accdb[Detalle de movimiento],Sucursal!$A49,Tabla_Registro_de_movimientos_app.accdb[Fecha],"&gt;"&amp;Sucursal!$B$4,Tabla_Registro_de_movimientos_app.accdb[Fecha],"&lt;="&amp;Sucursal!$C$4)</f>
        <v>0</v>
      </c>
      <c r="K49" s="187" t="e">
        <f t="shared" si="85"/>
        <v>#DIV/0!</v>
      </c>
      <c r="L49">
        <f>SUMIFS(Tabla_Registro_de_movimientos_app.accdb[Importe_Gasto],Tabla_Registro_de_movimientos_app.accdb[Sucursal],Sucursal!L$5,Tabla_Registro_de_movimientos_app.accdb[Detalle de movimiento],Sucursal!$A49,Tabla_Registro_de_movimientos_app.accdb[Fecha],"&gt;"&amp;Sucursal!$B$4,Tabla_Registro_de_movimientos_app.accdb[Fecha],"&lt;="&amp;Sucursal!$C$4)</f>
        <v>0</v>
      </c>
      <c r="M49" s="187" t="e">
        <f t="shared" si="86"/>
        <v>#DIV/0!</v>
      </c>
      <c r="N49">
        <f>SUMIFS(Tabla_Registro_de_movimientos_app.accdb[Importe_Gasto],Tabla_Registro_de_movimientos_app.accdb[Sucursal],Sucursal!N$5,Tabla_Registro_de_movimientos_app.accdb[Detalle de movimiento],Sucursal!$A49,Tabla_Registro_de_movimientos_app.accdb[Fecha],"&gt;"&amp;Sucursal!$B$4,Tabla_Registro_de_movimientos_app.accdb[Fecha],"&lt;="&amp;Sucursal!$C$4)</f>
        <v>0</v>
      </c>
      <c r="O49" s="187" t="e">
        <f t="shared" si="87"/>
        <v>#DIV/0!</v>
      </c>
      <c r="P49">
        <f>SUMIFS(Tabla_Registro_de_movimientos_app.accdb[Importe_Gasto],Tabla_Registro_de_movimientos_app.accdb[Sucursal],Sucursal!P$5,Tabla_Registro_de_movimientos_app.accdb[Detalle de movimiento],Sucursal!$A49,Tabla_Registro_de_movimientos_app.accdb[Fecha],"&gt;"&amp;Sucursal!$B$4,Tabla_Registro_de_movimientos_app.accdb[Fecha],"&lt;="&amp;Sucursal!$C$4)</f>
        <v>0</v>
      </c>
      <c r="Q49" s="187" t="e">
        <f t="shared" si="88"/>
        <v>#DIV/0!</v>
      </c>
      <c r="R49" s="115">
        <f>SUMIFS(Tabla_Registro_de_movimientos_app.accdb[Importe_Gasto],Tabla_Registro_de_movimientos_app.accdb[Sucursal],Sucursal!R$5,Tabla_Registro_de_movimientos_app.accdb[Detalle de movimiento],Sucursal!$A49,Tabla_Registro_de_movimientos_app.accdb[Fecha],"&gt;"&amp;Sucursal!$B$4,Tabla_Registro_de_movimientos_app.accdb[Fecha],"&lt;="&amp;Sucursal!$C$4)</f>
        <v>0</v>
      </c>
      <c r="S49" s="187" t="e">
        <f t="shared" si="89"/>
        <v>#DIV/0!</v>
      </c>
      <c r="T49" s="115">
        <f>SUMIFS(Tabla_Registro_de_movimientos_app.accdb[Importe_Gasto],Tabla_Registro_de_movimientos_app.accdb[Sucursal],Sucursal!T$5,Tabla_Registro_de_movimientos_app.accdb[Detalle de movimiento],Sucursal!$A49,Tabla_Registro_de_movimientos_app.accdb[Fecha],"&gt;"&amp;Sucursal!$B$4,Tabla_Registro_de_movimientos_app.accdb[Fecha],"&lt;="&amp;Sucursal!$C$4)</f>
        <v>0</v>
      </c>
      <c r="U49" s="187" t="e">
        <f t="shared" si="90"/>
        <v>#DIV/0!</v>
      </c>
      <c r="V49">
        <f>SUMIFS(Tabla_Registro_de_movimientos_app.accdb[Importe_Gasto],Tabla_Registro_de_movimientos_app.accdb[Sucursal],Sucursal!V$5,Tabla_Registro_de_movimientos_app.accdb[Detalle de movimiento],Sucursal!$A49,Tabla_Registro_de_movimientos_app.accdb[Fecha],"&gt;"&amp;Sucursal!$B$4,Tabla_Registro_de_movimientos_app.accdb[Fecha],"&lt;="&amp;Sucursal!$C$4)</f>
        <v>0</v>
      </c>
      <c r="W49" s="187" t="e">
        <f t="shared" si="91"/>
        <v>#DIV/0!</v>
      </c>
      <c r="X49" s="115">
        <f>SUMIFS(Tabla_Registro_de_movimientos_app.accdb[Importe_Gasto],Tabla_Registro_de_movimientos_app.accdb[Sucursal],Sucursal!X$5,Tabla_Registro_de_movimientos_app.accdb[Detalle de movimiento],Sucursal!$A49,Tabla_Registro_de_movimientos_app.accdb[Fecha],"&gt;"&amp;Sucursal!$B$4,Tabla_Registro_de_movimientos_app.accdb[Fecha],"&lt;="&amp;Sucursal!$C$4)</f>
        <v>0</v>
      </c>
      <c r="Y49" s="187" t="e">
        <f t="shared" si="92"/>
        <v>#DIV/0!</v>
      </c>
      <c r="Z49" s="115">
        <f>SUMIFS(Tabla_Registro_de_movimientos_app.accdb[Importe_Gasto],Tabla_Registro_de_movimientos_app.accdb[Sucursal],Sucursal!Z$5,Tabla_Registro_de_movimientos_app.accdb[Detalle de movimiento],Sucursal!$A49,Tabla_Registro_de_movimientos_app.accdb[Fecha],"&gt;"&amp;Sucursal!$B$4,Tabla_Registro_de_movimientos_app.accdb[Fecha],"&lt;="&amp;Sucursal!$C$4)</f>
        <v>0</v>
      </c>
      <c r="AA49" s="187" t="e">
        <f t="shared" si="93"/>
        <v>#DIV/0!</v>
      </c>
      <c r="AB49" s="115">
        <f>SUMIFS(Tabla_Registro_de_movimientos_app.accdb[Importe_Gasto],Tabla_Registro_de_movimientos_app.accdb[Sucursal],Sucursal!AB$5,Tabla_Registro_de_movimientos_app.accdb[Detalle de movimiento],Sucursal!$A49,Tabla_Registro_de_movimientos_app.accdb[Fecha],"&gt;"&amp;Sucursal!$B$4,Tabla_Registro_de_movimientos_app.accdb[Fecha],"&lt;="&amp;Sucursal!$C$4)</f>
        <v>0</v>
      </c>
      <c r="AC49" s="187" t="e">
        <f t="shared" si="94"/>
        <v>#DIV/0!</v>
      </c>
      <c r="AD49" s="115">
        <f>SUMIFS(Tabla_Registro_de_movimientos_app.accdb[Importe_Gasto],Tabla_Registro_de_movimientos_app.accdb[Sucursal],Sucursal!AD$5,Tabla_Registro_de_movimientos_app.accdb[Detalle de movimiento],Sucursal!$A49,Tabla_Registro_de_movimientos_app.accdb[Fecha],"&gt;"&amp;Sucursal!$B$4,Tabla_Registro_de_movimientos_app.accdb[Fecha],"&lt;="&amp;Sucursal!$C$4)</f>
        <v>0</v>
      </c>
      <c r="AE49" s="187" t="e">
        <f t="shared" si="95"/>
        <v>#DIV/0!</v>
      </c>
      <c r="AF49" s="115">
        <f>SUMIFS(Tabla_Registro_de_movimientos_app.accdb[Importe_Gasto],Tabla_Registro_de_movimientos_app.accdb[Sucursal],Sucursal!AF$5,Tabla_Registro_de_movimientos_app.accdb[Detalle de movimiento],Sucursal!$A49,Tabla_Registro_de_movimientos_app.accdb[Fecha],"&gt;"&amp;Sucursal!$B$4,Tabla_Registro_de_movimientos_app.accdb[Fecha],"&lt;="&amp;Sucursal!$C$4)</f>
        <v>0</v>
      </c>
      <c r="AG49" s="187" t="e">
        <f t="shared" si="96"/>
        <v>#DIV/0!</v>
      </c>
      <c r="AH49" s="115">
        <f>SUMIFS(Tabla_Registro_de_movimientos_app.accdb[Importe_Gasto],Tabla_Registro_de_movimientos_app.accdb[Sucursal],Sucursal!AH$5,Tabla_Registro_de_movimientos_app.accdb[Detalle de movimiento],Sucursal!$A49,Tabla_Registro_de_movimientos_app.accdb[Fecha],"&gt;"&amp;Sucursal!$B$4,Tabla_Registro_de_movimientos_app.accdb[Fecha],"&lt;="&amp;Sucursal!$C$4)</f>
        <v>0</v>
      </c>
      <c r="AI49" s="187" t="e">
        <f t="shared" si="97"/>
        <v>#DIV/0!</v>
      </c>
      <c r="AJ49">
        <f>SUMIFS(Tabla_Registro_de_movimientos_app.accdb[Importe_Gasto],Tabla_Registro_de_movimientos_app.accdb[Sucursal],Sucursal!AJ$5,Tabla_Registro_de_movimientos_app.accdb[Detalle de movimiento],Sucursal!$A49,Tabla_Registro_de_movimientos_app.accdb[Fecha],"&gt;"&amp;Sucursal!$B$4,Tabla_Registro_de_movimientos_app.accdb[Fecha],"&lt;="&amp;Sucursal!$C$4)</f>
        <v>0</v>
      </c>
      <c r="AK49" s="187" t="e">
        <f t="shared" si="98"/>
        <v>#DIV/0!</v>
      </c>
      <c r="AM49" s="188">
        <f t="shared" si="99"/>
        <v>0</v>
      </c>
      <c r="AN49" s="189" t="e">
        <f t="shared" si="100"/>
        <v>#DIV/0!</v>
      </c>
    </row>
    <row r="50" spans="1:40" x14ac:dyDescent="0.25">
      <c r="A50" t="s">
        <v>48</v>
      </c>
      <c r="B50">
        <f>SUMIFS(Tabla_Registro_de_movimientos_app.accdb[Importe_Gasto],Tabla_Registro_de_movimientos_app.accdb[Sucursal],Sucursal!$B$5,Tabla_Registro_de_movimientos_app.accdb[Detalle de movimiento],Sucursal!A50,Tabla_Registro_de_movimientos_app.accdb[Fecha],"&gt;"&amp;Sucursal!$B$4,Tabla_Registro_de_movimientos_app.accdb[Fecha],"&lt;="&amp;Sucursal!$C$4)</f>
        <v>0</v>
      </c>
      <c r="C50" s="187" t="e">
        <f t="shared" si="81"/>
        <v>#DIV/0!</v>
      </c>
      <c r="D50">
        <f>SUMIFS(Tabla_Registro_de_movimientos_app.accdb[Importe_Gasto],Tabla_Registro_de_movimientos_app.accdb[Sucursal],Sucursal!D$5,Tabla_Registro_de_movimientos_app.accdb[Detalle de movimiento],Sucursal!$A50,Tabla_Registro_de_movimientos_app.accdb[Fecha],"&gt;"&amp;Sucursal!$B$4,Tabla_Registro_de_movimientos_app.accdb[Fecha],"&lt;="&amp;Sucursal!$C$4)</f>
        <v>0</v>
      </c>
      <c r="E50" s="187" t="e">
        <f t="shared" si="82"/>
        <v>#DIV/0!</v>
      </c>
      <c r="F50">
        <f>SUMIFS(Tabla_Registro_de_movimientos_app.accdb[Importe_Gasto],Tabla_Registro_de_movimientos_app.accdb[Sucursal],Sucursal!F$5,Tabla_Registro_de_movimientos_app.accdb[Detalle de movimiento],Sucursal!$A50,Tabla_Registro_de_movimientos_app.accdb[Fecha],"&gt;"&amp;Sucursal!$B$4,Tabla_Registro_de_movimientos_app.accdb[Fecha],"&lt;="&amp;Sucursal!$C$4)</f>
        <v>0</v>
      </c>
      <c r="G50" s="187" t="e">
        <f t="shared" ref="G50" si="113">F50/F$53</f>
        <v>#DIV/0!</v>
      </c>
      <c r="H50">
        <f>SUMIFS(Tabla_Registro_de_movimientos_app.accdb[Importe_Gasto],Tabla_Registro_de_movimientos_app.accdb[Sucursal],Sucursal!H$5,Tabla_Registro_de_movimientos_app.accdb[Detalle de movimiento],Sucursal!$A50,Tabla_Registro_de_movimientos_app.accdb[Fecha],"&gt;"&amp;Sucursal!$B$4,Tabla_Registro_de_movimientos_app.accdb[Fecha],"&lt;="&amp;Sucursal!$C$4)</f>
        <v>0</v>
      </c>
      <c r="I50" s="187" t="e">
        <f t="shared" si="84"/>
        <v>#DIV/0!</v>
      </c>
      <c r="J50">
        <f>SUMIFS(Tabla_Registro_de_movimientos_app.accdb[Importe_Gasto],Tabla_Registro_de_movimientos_app.accdb[Sucursal],Sucursal!J$5,Tabla_Registro_de_movimientos_app.accdb[Detalle de movimiento],Sucursal!$A50,Tabla_Registro_de_movimientos_app.accdb[Fecha],"&gt;"&amp;Sucursal!$B$4,Tabla_Registro_de_movimientos_app.accdb[Fecha],"&lt;="&amp;Sucursal!$C$4)</f>
        <v>0</v>
      </c>
      <c r="K50" s="187" t="e">
        <f t="shared" si="85"/>
        <v>#DIV/0!</v>
      </c>
      <c r="L50">
        <f>SUMIFS(Tabla_Registro_de_movimientos_app.accdb[Importe_Gasto],Tabla_Registro_de_movimientos_app.accdb[Sucursal],Sucursal!L$5,Tabla_Registro_de_movimientos_app.accdb[Detalle de movimiento],Sucursal!$A50,Tabla_Registro_de_movimientos_app.accdb[Fecha],"&gt;"&amp;Sucursal!$B$4,Tabla_Registro_de_movimientos_app.accdb[Fecha],"&lt;="&amp;Sucursal!$C$4)</f>
        <v>0</v>
      </c>
      <c r="M50" s="187" t="e">
        <f t="shared" si="86"/>
        <v>#DIV/0!</v>
      </c>
      <c r="N50">
        <f>SUMIFS(Tabla_Registro_de_movimientos_app.accdb[Importe_Gasto],Tabla_Registro_de_movimientos_app.accdb[Sucursal],Sucursal!N$5,Tabla_Registro_de_movimientos_app.accdb[Detalle de movimiento],Sucursal!$A50,Tabla_Registro_de_movimientos_app.accdb[Fecha],"&gt;"&amp;Sucursal!$B$4,Tabla_Registro_de_movimientos_app.accdb[Fecha],"&lt;="&amp;Sucursal!$C$4)</f>
        <v>0</v>
      </c>
      <c r="O50" s="187" t="e">
        <f t="shared" si="87"/>
        <v>#DIV/0!</v>
      </c>
      <c r="P50">
        <f>SUMIFS(Tabla_Registro_de_movimientos_app.accdb[Importe_Gasto],Tabla_Registro_de_movimientos_app.accdb[Sucursal],Sucursal!P$5,Tabla_Registro_de_movimientos_app.accdb[Detalle de movimiento],Sucursal!$A50,Tabla_Registro_de_movimientos_app.accdb[Fecha],"&gt;"&amp;Sucursal!$B$4,Tabla_Registro_de_movimientos_app.accdb[Fecha],"&lt;="&amp;Sucursal!$C$4)</f>
        <v>0</v>
      </c>
      <c r="Q50" s="187" t="e">
        <f t="shared" si="88"/>
        <v>#DIV/0!</v>
      </c>
      <c r="R50" s="115">
        <f>SUMIFS(Tabla_Registro_de_movimientos_app.accdb[Importe_Gasto],Tabla_Registro_de_movimientos_app.accdb[Sucursal],Sucursal!R$5,Tabla_Registro_de_movimientos_app.accdb[Detalle de movimiento],Sucursal!$A50,Tabla_Registro_de_movimientos_app.accdb[Fecha],"&gt;"&amp;Sucursal!$B$4,Tabla_Registro_de_movimientos_app.accdb[Fecha],"&lt;="&amp;Sucursal!$C$4)</f>
        <v>0</v>
      </c>
      <c r="S50" s="187" t="e">
        <f t="shared" si="89"/>
        <v>#DIV/0!</v>
      </c>
      <c r="T50" s="115">
        <f>SUMIFS(Tabla_Registro_de_movimientos_app.accdb[Importe_Gasto],Tabla_Registro_de_movimientos_app.accdb[Sucursal],Sucursal!T$5,Tabla_Registro_de_movimientos_app.accdb[Detalle de movimiento],Sucursal!$A50,Tabla_Registro_de_movimientos_app.accdb[Fecha],"&gt;"&amp;Sucursal!$B$4,Tabla_Registro_de_movimientos_app.accdb[Fecha],"&lt;="&amp;Sucursal!$C$4)</f>
        <v>0</v>
      </c>
      <c r="U50" s="187" t="e">
        <f t="shared" si="90"/>
        <v>#DIV/0!</v>
      </c>
      <c r="V50">
        <f>SUMIFS(Tabla_Registro_de_movimientos_app.accdb[Importe_Gasto],Tabla_Registro_de_movimientos_app.accdb[Sucursal],Sucursal!V$5,Tabla_Registro_de_movimientos_app.accdb[Detalle de movimiento],Sucursal!$A50,Tabla_Registro_de_movimientos_app.accdb[Fecha],"&gt;"&amp;Sucursal!$B$4,Tabla_Registro_de_movimientos_app.accdb[Fecha],"&lt;="&amp;Sucursal!$C$4)</f>
        <v>0</v>
      </c>
      <c r="W50" s="187" t="e">
        <f t="shared" si="91"/>
        <v>#DIV/0!</v>
      </c>
      <c r="X50" s="115">
        <f>SUMIFS(Tabla_Registro_de_movimientos_app.accdb[Importe_Gasto],Tabla_Registro_de_movimientos_app.accdb[Sucursal],Sucursal!X$5,Tabla_Registro_de_movimientos_app.accdb[Detalle de movimiento],Sucursal!$A50,Tabla_Registro_de_movimientos_app.accdb[Fecha],"&gt;"&amp;Sucursal!$B$4,Tabla_Registro_de_movimientos_app.accdb[Fecha],"&lt;="&amp;Sucursal!$C$4)</f>
        <v>0</v>
      </c>
      <c r="Y50" s="187" t="e">
        <f t="shared" si="92"/>
        <v>#DIV/0!</v>
      </c>
      <c r="Z50" s="115">
        <f>SUMIFS(Tabla_Registro_de_movimientos_app.accdb[Importe_Gasto],Tabla_Registro_de_movimientos_app.accdb[Sucursal],Sucursal!Z$5,Tabla_Registro_de_movimientos_app.accdb[Detalle de movimiento],Sucursal!$A50,Tabla_Registro_de_movimientos_app.accdb[Fecha],"&gt;"&amp;Sucursal!$B$4,Tabla_Registro_de_movimientos_app.accdb[Fecha],"&lt;="&amp;Sucursal!$C$4)</f>
        <v>0</v>
      </c>
      <c r="AA50" s="187" t="e">
        <f t="shared" si="93"/>
        <v>#DIV/0!</v>
      </c>
      <c r="AB50" s="115">
        <f>SUMIFS(Tabla_Registro_de_movimientos_app.accdb[Importe_Gasto],Tabla_Registro_de_movimientos_app.accdb[Sucursal],Sucursal!AB$5,Tabla_Registro_de_movimientos_app.accdb[Detalle de movimiento],Sucursal!$A50,Tabla_Registro_de_movimientos_app.accdb[Fecha],"&gt;"&amp;Sucursal!$B$4,Tabla_Registro_de_movimientos_app.accdb[Fecha],"&lt;="&amp;Sucursal!$C$4)</f>
        <v>0</v>
      </c>
      <c r="AC50" s="187" t="e">
        <f t="shared" si="94"/>
        <v>#DIV/0!</v>
      </c>
      <c r="AD50" s="115">
        <f>SUMIFS(Tabla_Registro_de_movimientos_app.accdb[Importe_Gasto],Tabla_Registro_de_movimientos_app.accdb[Sucursal],Sucursal!AD$5,Tabla_Registro_de_movimientos_app.accdb[Detalle de movimiento],Sucursal!$A50,Tabla_Registro_de_movimientos_app.accdb[Fecha],"&gt;"&amp;Sucursal!$B$4,Tabla_Registro_de_movimientos_app.accdb[Fecha],"&lt;="&amp;Sucursal!$C$4)</f>
        <v>0</v>
      </c>
      <c r="AE50" s="187" t="e">
        <f t="shared" si="95"/>
        <v>#DIV/0!</v>
      </c>
      <c r="AF50" s="115">
        <f>SUMIFS(Tabla_Registro_de_movimientos_app.accdb[Importe_Gasto],Tabla_Registro_de_movimientos_app.accdb[Sucursal],Sucursal!AF$5,Tabla_Registro_de_movimientos_app.accdb[Detalle de movimiento],Sucursal!$A50,Tabla_Registro_de_movimientos_app.accdb[Fecha],"&gt;"&amp;Sucursal!$B$4,Tabla_Registro_de_movimientos_app.accdb[Fecha],"&lt;="&amp;Sucursal!$C$4)</f>
        <v>0</v>
      </c>
      <c r="AG50" s="187" t="e">
        <f t="shared" si="96"/>
        <v>#DIV/0!</v>
      </c>
      <c r="AH50" s="115">
        <f>SUMIFS(Tabla_Registro_de_movimientos_app.accdb[Importe_Gasto],Tabla_Registro_de_movimientos_app.accdb[Sucursal],Sucursal!AH$5,Tabla_Registro_de_movimientos_app.accdb[Detalle de movimiento],Sucursal!$A50,Tabla_Registro_de_movimientos_app.accdb[Fecha],"&gt;"&amp;Sucursal!$B$4,Tabla_Registro_de_movimientos_app.accdb[Fecha],"&lt;="&amp;Sucursal!$C$4)</f>
        <v>0</v>
      </c>
      <c r="AI50" s="187" t="e">
        <f t="shared" si="97"/>
        <v>#DIV/0!</v>
      </c>
      <c r="AJ50">
        <f>SUMIFS(Tabla_Registro_de_movimientos_app.accdb[Importe_Gasto],Tabla_Registro_de_movimientos_app.accdb[Sucursal],Sucursal!AJ$5,Tabla_Registro_de_movimientos_app.accdb[Detalle de movimiento],Sucursal!$A50,Tabla_Registro_de_movimientos_app.accdb[Fecha],"&gt;"&amp;Sucursal!$B$4,Tabla_Registro_de_movimientos_app.accdb[Fecha],"&lt;="&amp;Sucursal!$C$4)</f>
        <v>0</v>
      </c>
      <c r="AK50" s="187" t="e">
        <f t="shared" si="98"/>
        <v>#DIV/0!</v>
      </c>
      <c r="AM50" s="188">
        <f t="shared" si="99"/>
        <v>0</v>
      </c>
      <c r="AN50" s="189" t="e">
        <f t="shared" si="100"/>
        <v>#DIV/0!</v>
      </c>
    </row>
    <row r="51" spans="1:40" x14ac:dyDescent="0.25">
      <c r="A51" t="s">
        <v>49</v>
      </c>
      <c r="B51">
        <f>SUMIFS(Tabla_Registro_de_movimientos_app.accdb[Importe_Gasto],Tabla_Registro_de_movimientos_app.accdb[Sucursal],Sucursal!$B$5,Tabla_Registro_de_movimientos_app.accdb[Detalle de movimiento],Sucursal!A51,Tabla_Registro_de_movimientos_app.accdb[Fecha],"&gt;"&amp;Sucursal!$B$4,Tabla_Registro_de_movimientos_app.accdb[Fecha],"&lt;="&amp;Sucursal!$C$4)</f>
        <v>0</v>
      </c>
      <c r="C51" s="187" t="e">
        <f t="shared" si="81"/>
        <v>#DIV/0!</v>
      </c>
      <c r="D51">
        <f>SUMIFS(Tabla_Registro_de_movimientos_app.accdb[Importe_Gasto],Tabla_Registro_de_movimientos_app.accdb[Sucursal],Sucursal!D$5,Tabla_Registro_de_movimientos_app.accdb[Detalle de movimiento],Sucursal!$A51,Tabla_Registro_de_movimientos_app.accdb[Fecha],"&gt;"&amp;Sucursal!$B$4,Tabla_Registro_de_movimientos_app.accdb[Fecha],"&lt;="&amp;Sucursal!$C$4)</f>
        <v>0</v>
      </c>
      <c r="E51" s="187" t="e">
        <f t="shared" si="82"/>
        <v>#DIV/0!</v>
      </c>
      <c r="F51">
        <f>SUMIFS(Tabla_Registro_de_movimientos_app.accdb[Importe_Gasto],Tabla_Registro_de_movimientos_app.accdb[Sucursal],Sucursal!F$5,Tabla_Registro_de_movimientos_app.accdb[Detalle de movimiento],Sucursal!$A51,Tabla_Registro_de_movimientos_app.accdb[Fecha],"&gt;"&amp;Sucursal!$B$4,Tabla_Registro_de_movimientos_app.accdb[Fecha],"&lt;="&amp;Sucursal!$C$4)</f>
        <v>0</v>
      </c>
      <c r="G51" s="187" t="e">
        <f t="shared" ref="G51" si="114">F51/F$53</f>
        <v>#DIV/0!</v>
      </c>
      <c r="H51">
        <f>SUMIFS(Tabla_Registro_de_movimientos_app.accdb[Importe_Gasto],Tabla_Registro_de_movimientos_app.accdb[Sucursal],Sucursal!H$5,Tabla_Registro_de_movimientos_app.accdb[Detalle de movimiento],Sucursal!$A51,Tabla_Registro_de_movimientos_app.accdb[Fecha],"&gt;"&amp;Sucursal!$B$4,Tabla_Registro_de_movimientos_app.accdb[Fecha],"&lt;="&amp;Sucursal!$C$4)</f>
        <v>0</v>
      </c>
      <c r="I51" s="187" t="e">
        <f t="shared" si="84"/>
        <v>#DIV/0!</v>
      </c>
      <c r="J51">
        <f>SUMIFS(Tabla_Registro_de_movimientos_app.accdb[Importe_Gasto],Tabla_Registro_de_movimientos_app.accdb[Sucursal],Sucursal!J$5,Tabla_Registro_de_movimientos_app.accdb[Detalle de movimiento],Sucursal!$A51,Tabla_Registro_de_movimientos_app.accdb[Fecha],"&gt;"&amp;Sucursal!$B$4,Tabla_Registro_de_movimientos_app.accdb[Fecha],"&lt;="&amp;Sucursal!$C$4)</f>
        <v>0</v>
      </c>
      <c r="K51" s="187" t="e">
        <f t="shared" si="85"/>
        <v>#DIV/0!</v>
      </c>
      <c r="L51">
        <f>SUMIFS(Tabla_Registro_de_movimientos_app.accdb[Importe_Gasto],Tabla_Registro_de_movimientos_app.accdb[Sucursal],Sucursal!L$5,Tabla_Registro_de_movimientos_app.accdb[Detalle de movimiento],Sucursal!$A51,Tabla_Registro_de_movimientos_app.accdb[Fecha],"&gt;"&amp;Sucursal!$B$4,Tabla_Registro_de_movimientos_app.accdb[Fecha],"&lt;="&amp;Sucursal!$C$4)</f>
        <v>0</v>
      </c>
      <c r="M51" s="187" t="e">
        <f t="shared" si="86"/>
        <v>#DIV/0!</v>
      </c>
      <c r="N51">
        <f>SUMIFS(Tabla_Registro_de_movimientos_app.accdb[Importe_Gasto],Tabla_Registro_de_movimientos_app.accdb[Sucursal],Sucursal!N$5,Tabla_Registro_de_movimientos_app.accdb[Detalle de movimiento],Sucursal!$A51,Tabla_Registro_de_movimientos_app.accdb[Fecha],"&gt;"&amp;Sucursal!$B$4,Tabla_Registro_de_movimientos_app.accdb[Fecha],"&lt;="&amp;Sucursal!$C$4)</f>
        <v>0</v>
      </c>
      <c r="O51" s="187" t="e">
        <f t="shared" si="87"/>
        <v>#DIV/0!</v>
      </c>
      <c r="P51">
        <f>SUMIFS(Tabla_Registro_de_movimientos_app.accdb[Importe_Gasto],Tabla_Registro_de_movimientos_app.accdb[Sucursal],Sucursal!P$5,Tabla_Registro_de_movimientos_app.accdb[Detalle de movimiento],Sucursal!$A51,Tabla_Registro_de_movimientos_app.accdb[Fecha],"&gt;"&amp;Sucursal!$B$4,Tabla_Registro_de_movimientos_app.accdb[Fecha],"&lt;="&amp;Sucursal!$C$4)</f>
        <v>0</v>
      </c>
      <c r="Q51" s="187" t="e">
        <f t="shared" si="88"/>
        <v>#DIV/0!</v>
      </c>
      <c r="R51" s="115">
        <f>SUMIFS(Tabla_Registro_de_movimientos_app.accdb[Importe_Gasto],Tabla_Registro_de_movimientos_app.accdb[Sucursal],Sucursal!R$5,Tabla_Registro_de_movimientos_app.accdb[Detalle de movimiento],Sucursal!$A51,Tabla_Registro_de_movimientos_app.accdb[Fecha],"&gt;"&amp;Sucursal!$B$4,Tabla_Registro_de_movimientos_app.accdb[Fecha],"&lt;="&amp;Sucursal!$C$4)</f>
        <v>0</v>
      </c>
      <c r="S51" s="187" t="e">
        <f t="shared" si="89"/>
        <v>#DIV/0!</v>
      </c>
      <c r="T51" s="115">
        <f>SUMIFS(Tabla_Registro_de_movimientos_app.accdb[Importe_Gasto],Tabla_Registro_de_movimientos_app.accdb[Sucursal],Sucursal!T$5,Tabla_Registro_de_movimientos_app.accdb[Detalle de movimiento],Sucursal!$A51,Tabla_Registro_de_movimientos_app.accdb[Fecha],"&gt;"&amp;Sucursal!$B$4,Tabla_Registro_de_movimientos_app.accdb[Fecha],"&lt;="&amp;Sucursal!$C$4)</f>
        <v>0</v>
      </c>
      <c r="U51" s="187" t="e">
        <f t="shared" si="90"/>
        <v>#DIV/0!</v>
      </c>
      <c r="V51">
        <f>SUMIFS(Tabla_Registro_de_movimientos_app.accdb[Importe_Gasto],Tabla_Registro_de_movimientos_app.accdb[Sucursal],Sucursal!V$5,Tabla_Registro_de_movimientos_app.accdb[Detalle de movimiento],Sucursal!$A51,Tabla_Registro_de_movimientos_app.accdb[Fecha],"&gt;"&amp;Sucursal!$B$4,Tabla_Registro_de_movimientos_app.accdb[Fecha],"&lt;="&amp;Sucursal!$C$4)</f>
        <v>0</v>
      </c>
      <c r="W51" s="187" t="e">
        <f t="shared" si="91"/>
        <v>#DIV/0!</v>
      </c>
      <c r="X51" s="115">
        <f>SUMIFS(Tabla_Registro_de_movimientos_app.accdb[Importe_Gasto],Tabla_Registro_de_movimientos_app.accdb[Sucursal],Sucursal!X$5,Tabla_Registro_de_movimientos_app.accdb[Detalle de movimiento],Sucursal!$A51,Tabla_Registro_de_movimientos_app.accdb[Fecha],"&gt;"&amp;Sucursal!$B$4,Tabla_Registro_de_movimientos_app.accdb[Fecha],"&lt;="&amp;Sucursal!$C$4)</f>
        <v>0</v>
      </c>
      <c r="Y51" s="187" t="e">
        <f t="shared" si="92"/>
        <v>#DIV/0!</v>
      </c>
      <c r="Z51" s="115">
        <f>SUMIFS(Tabla_Registro_de_movimientos_app.accdb[Importe_Gasto],Tabla_Registro_de_movimientos_app.accdb[Sucursal],Sucursal!Z$5,Tabla_Registro_de_movimientos_app.accdb[Detalle de movimiento],Sucursal!$A51,Tabla_Registro_de_movimientos_app.accdb[Fecha],"&gt;"&amp;Sucursal!$B$4,Tabla_Registro_de_movimientos_app.accdb[Fecha],"&lt;="&amp;Sucursal!$C$4)</f>
        <v>0</v>
      </c>
      <c r="AA51" s="187" t="e">
        <f t="shared" si="93"/>
        <v>#DIV/0!</v>
      </c>
      <c r="AB51" s="115">
        <f>SUMIFS(Tabla_Registro_de_movimientos_app.accdb[Importe_Gasto],Tabla_Registro_de_movimientos_app.accdb[Sucursal],Sucursal!AB$5,Tabla_Registro_de_movimientos_app.accdb[Detalle de movimiento],Sucursal!$A51,Tabla_Registro_de_movimientos_app.accdb[Fecha],"&gt;"&amp;Sucursal!$B$4,Tabla_Registro_de_movimientos_app.accdb[Fecha],"&lt;="&amp;Sucursal!$C$4)</f>
        <v>0</v>
      </c>
      <c r="AC51" s="187" t="e">
        <f t="shared" si="94"/>
        <v>#DIV/0!</v>
      </c>
      <c r="AD51" s="115">
        <f>SUMIFS(Tabla_Registro_de_movimientos_app.accdb[Importe_Gasto],Tabla_Registro_de_movimientos_app.accdb[Sucursal],Sucursal!AD$5,Tabla_Registro_de_movimientos_app.accdb[Detalle de movimiento],Sucursal!$A51,Tabla_Registro_de_movimientos_app.accdb[Fecha],"&gt;"&amp;Sucursal!$B$4,Tabla_Registro_de_movimientos_app.accdb[Fecha],"&lt;="&amp;Sucursal!$C$4)</f>
        <v>0</v>
      </c>
      <c r="AE51" s="187" t="e">
        <f t="shared" si="95"/>
        <v>#DIV/0!</v>
      </c>
      <c r="AF51" s="115">
        <f>SUMIFS(Tabla_Registro_de_movimientos_app.accdb[Importe_Gasto],Tabla_Registro_de_movimientos_app.accdb[Sucursal],Sucursal!AF$5,Tabla_Registro_de_movimientos_app.accdb[Detalle de movimiento],Sucursal!$A51,Tabla_Registro_de_movimientos_app.accdb[Fecha],"&gt;"&amp;Sucursal!$B$4,Tabla_Registro_de_movimientos_app.accdb[Fecha],"&lt;="&amp;Sucursal!$C$4)</f>
        <v>0</v>
      </c>
      <c r="AG51" s="187" t="e">
        <f t="shared" si="96"/>
        <v>#DIV/0!</v>
      </c>
      <c r="AH51" s="115">
        <f>SUMIFS(Tabla_Registro_de_movimientos_app.accdb[Importe_Gasto],Tabla_Registro_de_movimientos_app.accdb[Sucursal],Sucursal!AH$5,Tabla_Registro_de_movimientos_app.accdb[Detalle de movimiento],Sucursal!$A51,Tabla_Registro_de_movimientos_app.accdb[Fecha],"&gt;"&amp;Sucursal!$B$4,Tabla_Registro_de_movimientos_app.accdb[Fecha],"&lt;="&amp;Sucursal!$C$4)</f>
        <v>0</v>
      </c>
      <c r="AI51" s="187" t="e">
        <f t="shared" si="97"/>
        <v>#DIV/0!</v>
      </c>
      <c r="AJ51">
        <f>SUMIFS(Tabla_Registro_de_movimientos_app.accdb[Importe_Gasto],Tabla_Registro_de_movimientos_app.accdb[Sucursal],Sucursal!AJ$5,Tabla_Registro_de_movimientos_app.accdb[Detalle de movimiento],Sucursal!$A51,Tabla_Registro_de_movimientos_app.accdb[Fecha],"&gt;"&amp;Sucursal!$B$4,Tabla_Registro_de_movimientos_app.accdb[Fecha],"&lt;="&amp;Sucursal!$C$4)</f>
        <v>0</v>
      </c>
      <c r="AK51" s="187" t="e">
        <f t="shared" si="98"/>
        <v>#DIV/0!</v>
      </c>
      <c r="AM51" s="188">
        <f t="shared" si="99"/>
        <v>0</v>
      </c>
      <c r="AN51" s="189" t="e">
        <f t="shared" si="100"/>
        <v>#DIV/0!</v>
      </c>
    </row>
    <row r="52" spans="1:40" x14ac:dyDescent="0.25">
      <c r="A52" t="s">
        <v>50</v>
      </c>
      <c r="B52">
        <f>SUMIFS(Tabla_Registro_de_movimientos_app.accdb[Importe_Gasto],Tabla_Registro_de_movimientos_app.accdb[Sucursal],Sucursal!$B$5,Tabla_Registro_de_movimientos_app.accdb[Detalle de movimiento],Sucursal!A52,Tabla_Registro_de_movimientos_app.accdb[Fecha],"&gt;"&amp;Sucursal!$B$4,Tabla_Registro_de_movimientos_app.accdb[Fecha],"&lt;="&amp;Sucursal!$C$4)</f>
        <v>0</v>
      </c>
      <c r="C52" s="187" t="e">
        <f t="shared" si="81"/>
        <v>#DIV/0!</v>
      </c>
      <c r="D52">
        <f>SUMIFS(Tabla_Registro_de_movimientos_app.accdb[Importe_Gasto],Tabla_Registro_de_movimientos_app.accdb[Sucursal],Sucursal!D$5,Tabla_Registro_de_movimientos_app.accdb[Detalle de movimiento],Sucursal!$A52,Tabla_Registro_de_movimientos_app.accdb[Fecha],"&gt;"&amp;Sucursal!$B$4,Tabla_Registro_de_movimientos_app.accdb[Fecha],"&lt;="&amp;Sucursal!$C$4)</f>
        <v>0</v>
      </c>
      <c r="E52" s="187" t="e">
        <f t="shared" si="82"/>
        <v>#DIV/0!</v>
      </c>
      <c r="F52">
        <f>SUMIFS(Tabla_Registro_de_movimientos_app.accdb[Importe_Gasto],Tabla_Registro_de_movimientos_app.accdb[Sucursal],Sucursal!F$5,Tabla_Registro_de_movimientos_app.accdb[Detalle de movimiento],Sucursal!$A52,Tabla_Registro_de_movimientos_app.accdb[Fecha],"&gt;"&amp;Sucursal!$B$4,Tabla_Registro_de_movimientos_app.accdb[Fecha],"&lt;="&amp;Sucursal!$C$4)</f>
        <v>0</v>
      </c>
      <c r="G52" s="187" t="e">
        <f t="shared" ref="G52" si="115">F52/F$53</f>
        <v>#DIV/0!</v>
      </c>
      <c r="H52" s="115">
        <f>SUMIFS(Tabla_Registro_de_movimientos_app.accdb[Importe_Gasto],Tabla_Registro_de_movimientos_app.accdb[Sucursal],Sucursal!H$5,Tabla_Registro_de_movimientos_app.accdb[Detalle de movimiento],Sucursal!$A52,Tabla_Registro_de_movimientos_app.accdb[Fecha],"&gt;"&amp;Sucursal!$B$4,Tabla_Registro_de_movimientos_app.accdb[Fecha],"&lt;="&amp;Sucursal!$C$4)</f>
        <v>0</v>
      </c>
      <c r="I52" s="187" t="e">
        <f t="shared" si="84"/>
        <v>#DIV/0!</v>
      </c>
      <c r="J52">
        <f>SUMIFS(Tabla_Registro_de_movimientos_app.accdb[Importe_Gasto],Tabla_Registro_de_movimientos_app.accdb[Sucursal],Sucursal!J$5,Tabla_Registro_de_movimientos_app.accdb[Detalle de movimiento],Sucursal!$A52,Tabla_Registro_de_movimientos_app.accdb[Fecha],"&gt;"&amp;Sucursal!$B$4,Tabla_Registro_de_movimientos_app.accdb[Fecha],"&lt;="&amp;Sucursal!$C$4)</f>
        <v>0</v>
      </c>
      <c r="K52" s="187" t="e">
        <f t="shared" si="85"/>
        <v>#DIV/0!</v>
      </c>
      <c r="L52">
        <f>SUMIFS(Tabla_Registro_de_movimientos_app.accdb[Importe_Gasto],Tabla_Registro_de_movimientos_app.accdb[Sucursal],Sucursal!L$5,Tabla_Registro_de_movimientos_app.accdb[Detalle de movimiento],Sucursal!$A52,Tabla_Registro_de_movimientos_app.accdb[Fecha],"&gt;"&amp;Sucursal!$B$4,Tabla_Registro_de_movimientos_app.accdb[Fecha],"&lt;="&amp;Sucursal!$C$4)</f>
        <v>0</v>
      </c>
      <c r="M52" s="187" t="e">
        <f t="shared" si="86"/>
        <v>#DIV/0!</v>
      </c>
      <c r="N52">
        <f>SUMIFS(Tabla_Registro_de_movimientos_app.accdb[Importe_Gasto],Tabla_Registro_de_movimientos_app.accdb[Sucursal],Sucursal!N$5,Tabla_Registro_de_movimientos_app.accdb[Detalle de movimiento],Sucursal!$A52,Tabla_Registro_de_movimientos_app.accdb[Fecha],"&gt;"&amp;Sucursal!$B$4,Tabla_Registro_de_movimientos_app.accdb[Fecha],"&lt;="&amp;Sucursal!$C$4)</f>
        <v>0</v>
      </c>
      <c r="O52" s="187" t="e">
        <f t="shared" si="87"/>
        <v>#DIV/0!</v>
      </c>
      <c r="P52">
        <f>SUMIFS(Tabla_Registro_de_movimientos_app.accdb[Importe_Gasto],Tabla_Registro_de_movimientos_app.accdb[Sucursal],Sucursal!P$5,Tabla_Registro_de_movimientos_app.accdb[Detalle de movimiento],Sucursal!$A52,Tabla_Registro_de_movimientos_app.accdb[Fecha],"&gt;"&amp;Sucursal!$B$4,Tabla_Registro_de_movimientos_app.accdb[Fecha],"&lt;="&amp;Sucursal!$C$4)</f>
        <v>0</v>
      </c>
      <c r="Q52" s="187" t="e">
        <f t="shared" si="88"/>
        <v>#DIV/0!</v>
      </c>
      <c r="R52" s="115">
        <f>SUMIFS(Tabla_Registro_de_movimientos_app.accdb[Importe_Gasto],Tabla_Registro_de_movimientos_app.accdb[Sucursal],Sucursal!R$5,Tabla_Registro_de_movimientos_app.accdb[Detalle de movimiento],Sucursal!$A52,Tabla_Registro_de_movimientos_app.accdb[Fecha],"&gt;"&amp;Sucursal!$B$4,Tabla_Registro_de_movimientos_app.accdb[Fecha],"&lt;="&amp;Sucursal!$C$4)</f>
        <v>0</v>
      </c>
      <c r="S52" s="187" t="e">
        <f t="shared" si="89"/>
        <v>#DIV/0!</v>
      </c>
      <c r="T52">
        <f>SUMIFS(Tabla_Registro_de_movimientos_app.accdb[Importe_Gasto],Tabla_Registro_de_movimientos_app.accdb[Sucursal],Sucursal!T$5,Tabla_Registro_de_movimientos_app.accdb[Detalle de movimiento],Sucursal!$A52,Tabla_Registro_de_movimientos_app.accdb[Fecha],"&gt;"&amp;Sucursal!$B$4,Tabla_Registro_de_movimientos_app.accdb[Fecha],"&lt;="&amp;Sucursal!$C$4)</f>
        <v>0</v>
      </c>
      <c r="U52" s="187" t="e">
        <f t="shared" si="90"/>
        <v>#DIV/0!</v>
      </c>
      <c r="V52">
        <f>SUMIFS(Tabla_Registro_de_movimientos_app.accdb[Importe_Gasto],Tabla_Registro_de_movimientos_app.accdb[Sucursal],Sucursal!V$5,Tabla_Registro_de_movimientos_app.accdb[Detalle de movimiento],Sucursal!$A52,Tabla_Registro_de_movimientos_app.accdb[Fecha],"&gt;"&amp;Sucursal!$B$4,Tabla_Registro_de_movimientos_app.accdb[Fecha],"&lt;="&amp;Sucursal!$C$4)</f>
        <v>0</v>
      </c>
      <c r="W52" s="187" t="e">
        <f t="shared" si="91"/>
        <v>#DIV/0!</v>
      </c>
      <c r="X52" s="115">
        <f>SUMIFS(Tabla_Registro_de_movimientos_app.accdb[Importe_Gasto],Tabla_Registro_de_movimientos_app.accdb[Sucursal],Sucursal!X$5,Tabla_Registro_de_movimientos_app.accdb[Detalle de movimiento],Sucursal!$A52,Tabla_Registro_de_movimientos_app.accdb[Fecha],"&gt;"&amp;Sucursal!$B$4,Tabla_Registro_de_movimientos_app.accdb[Fecha],"&lt;="&amp;Sucursal!$C$4)</f>
        <v>0</v>
      </c>
      <c r="Y52" s="187" t="e">
        <f t="shared" si="92"/>
        <v>#DIV/0!</v>
      </c>
      <c r="Z52" s="115">
        <f>SUMIFS(Tabla_Registro_de_movimientos_app.accdb[Importe_Gasto],Tabla_Registro_de_movimientos_app.accdb[Sucursal],Sucursal!Z$5,Tabla_Registro_de_movimientos_app.accdb[Detalle de movimiento],Sucursal!$A52,Tabla_Registro_de_movimientos_app.accdb[Fecha],"&gt;"&amp;Sucursal!$B$4,Tabla_Registro_de_movimientos_app.accdb[Fecha],"&lt;="&amp;Sucursal!$C$4)</f>
        <v>0</v>
      </c>
      <c r="AA52" s="187" t="e">
        <f t="shared" si="93"/>
        <v>#DIV/0!</v>
      </c>
      <c r="AB52" s="115">
        <f>SUMIFS(Tabla_Registro_de_movimientos_app.accdb[Importe_Gasto],Tabla_Registro_de_movimientos_app.accdb[Sucursal],Sucursal!AB$5,Tabla_Registro_de_movimientos_app.accdb[Detalle de movimiento],Sucursal!$A52,Tabla_Registro_de_movimientos_app.accdb[Fecha],"&gt;"&amp;Sucursal!$B$4,Tabla_Registro_de_movimientos_app.accdb[Fecha],"&lt;="&amp;Sucursal!$C$4)</f>
        <v>0</v>
      </c>
      <c r="AC52" s="187" t="e">
        <f t="shared" si="94"/>
        <v>#DIV/0!</v>
      </c>
      <c r="AD52" s="115">
        <f>SUMIFS(Tabla_Registro_de_movimientos_app.accdb[Importe_Gasto],Tabla_Registro_de_movimientos_app.accdb[Sucursal],Sucursal!AD$5,Tabla_Registro_de_movimientos_app.accdb[Detalle de movimiento],Sucursal!$A52,Tabla_Registro_de_movimientos_app.accdb[Fecha],"&gt;"&amp;Sucursal!$B$4,Tabla_Registro_de_movimientos_app.accdb[Fecha],"&lt;="&amp;Sucursal!$C$4)</f>
        <v>0</v>
      </c>
      <c r="AE52" s="187" t="e">
        <f t="shared" si="95"/>
        <v>#DIV/0!</v>
      </c>
      <c r="AF52" s="115">
        <f>SUMIFS(Tabla_Registro_de_movimientos_app.accdb[Importe_Gasto],Tabla_Registro_de_movimientos_app.accdb[Sucursal],Sucursal!AF$5,Tabla_Registro_de_movimientos_app.accdb[Detalle de movimiento],Sucursal!$A52,Tabla_Registro_de_movimientos_app.accdb[Fecha],"&gt;"&amp;Sucursal!$B$4,Tabla_Registro_de_movimientos_app.accdb[Fecha],"&lt;="&amp;Sucursal!$C$4)</f>
        <v>0</v>
      </c>
      <c r="AG52" s="187" t="e">
        <f t="shared" si="96"/>
        <v>#DIV/0!</v>
      </c>
      <c r="AH52" s="115">
        <f>SUMIFS(Tabla_Registro_de_movimientos_app.accdb[Importe_Gasto],Tabla_Registro_de_movimientos_app.accdb[Sucursal],Sucursal!AH$5,Tabla_Registro_de_movimientos_app.accdb[Detalle de movimiento],Sucursal!$A52,Tabla_Registro_de_movimientos_app.accdb[Fecha],"&gt;"&amp;Sucursal!$B$4,Tabla_Registro_de_movimientos_app.accdb[Fecha],"&lt;="&amp;Sucursal!$C$4)</f>
        <v>0</v>
      </c>
      <c r="AI52" s="187" t="e">
        <f t="shared" si="97"/>
        <v>#DIV/0!</v>
      </c>
      <c r="AJ52">
        <f>SUMIFS(Tabla_Registro_de_movimientos_app.accdb[Importe_Gasto],Tabla_Registro_de_movimientos_app.accdb[Sucursal],Sucursal!AJ$5,Tabla_Registro_de_movimientos_app.accdb[Detalle de movimiento],Sucursal!$A52,Tabla_Registro_de_movimientos_app.accdb[Fecha],"&gt;"&amp;Sucursal!$B$4,Tabla_Registro_de_movimientos_app.accdb[Fecha],"&lt;="&amp;Sucursal!$C$4)</f>
        <v>0</v>
      </c>
      <c r="AK52" s="187" t="e">
        <f t="shared" si="98"/>
        <v>#DIV/0!</v>
      </c>
      <c r="AM52" s="188">
        <f t="shared" si="99"/>
        <v>0</v>
      </c>
      <c r="AN52" s="189" t="e">
        <f t="shared" si="100"/>
        <v>#DIV/0!</v>
      </c>
    </row>
    <row r="53" spans="1:40" ht="15.75" thickBot="1" x14ac:dyDescent="0.3">
      <c r="A53" s="8" t="s">
        <v>51</v>
      </c>
      <c r="B53" s="208">
        <f t="shared" ref="B53:G53" si="116">SUM(B36:B52)</f>
        <v>0</v>
      </c>
      <c r="C53" s="191" t="e">
        <f>+B53/B13</f>
        <v>#DIV/0!</v>
      </c>
      <c r="D53" s="208">
        <f t="shared" si="116"/>
        <v>0</v>
      </c>
      <c r="E53" s="191" t="e">
        <f t="shared" si="116"/>
        <v>#DIV/0!</v>
      </c>
      <c r="F53" s="208">
        <f t="shared" si="116"/>
        <v>0</v>
      </c>
      <c r="G53" s="191" t="e">
        <f t="shared" si="116"/>
        <v>#DIV/0!</v>
      </c>
      <c r="H53" s="208">
        <f t="shared" ref="H53" si="117">SUM(H36:H52)</f>
        <v>0</v>
      </c>
      <c r="I53" s="191" t="e">
        <f t="shared" ref="I53" si="118">SUM(I36:I52)</f>
        <v>#DIV/0!</v>
      </c>
      <c r="J53" s="190">
        <f t="shared" ref="J53" si="119">SUM(J36:J52)</f>
        <v>0</v>
      </c>
      <c r="K53" s="191" t="e">
        <f t="shared" ref="K53" si="120">SUM(K36:K52)</f>
        <v>#DIV/0!</v>
      </c>
      <c r="L53" s="190">
        <f>SUM(L36:L52)</f>
        <v>0</v>
      </c>
      <c r="M53" s="191" t="e">
        <f t="shared" ref="M53" si="121">SUM(M36:M52)</f>
        <v>#DIV/0!</v>
      </c>
      <c r="N53" s="190">
        <f t="shared" ref="N53" si="122">SUM(N36:N52)</f>
        <v>0</v>
      </c>
      <c r="O53" s="191" t="e">
        <f t="shared" ref="O53" si="123">SUM(O36:O52)</f>
        <v>#DIV/0!</v>
      </c>
      <c r="P53" s="190">
        <f t="shared" ref="P53" si="124">SUM(P36:P52)</f>
        <v>0</v>
      </c>
      <c r="Q53" s="191" t="e">
        <f t="shared" ref="Q53" si="125">SUM(Q36:Q52)</f>
        <v>#DIV/0!</v>
      </c>
      <c r="R53" s="190">
        <f t="shared" ref="R53" si="126">SUM(R36:R52)</f>
        <v>0</v>
      </c>
      <c r="S53" s="191" t="e">
        <f t="shared" ref="S53" si="127">SUM(S36:S52)</f>
        <v>#DIV/0!</v>
      </c>
      <c r="T53" s="190">
        <f t="shared" ref="T53" si="128">SUM(T36:T52)</f>
        <v>0</v>
      </c>
      <c r="U53" s="191" t="e">
        <f t="shared" ref="U53" si="129">SUM(U36:U52)</f>
        <v>#DIV/0!</v>
      </c>
      <c r="V53" s="190">
        <f t="shared" ref="V53" si="130">SUM(V36:V52)</f>
        <v>0</v>
      </c>
      <c r="W53" s="191" t="e">
        <f t="shared" ref="W53" si="131">SUM(W36:W52)</f>
        <v>#DIV/0!</v>
      </c>
      <c r="X53" s="190">
        <f t="shared" ref="X53" si="132">SUM(X36:X52)</f>
        <v>0</v>
      </c>
      <c r="Y53" s="191" t="e">
        <f t="shared" ref="Y53" si="133">SUM(Y36:Y52)</f>
        <v>#DIV/0!</v>
      </c>
      <c r="Z53" s="190">
        <f t="shared" ref="Z53:AB53" si="134">SUM(Z36:Z52)</f>
        <v>0</v>
      </c>
      <c r="AA53" s="191" t="e">
        <f t="shared" ref="AA53:AD53" si="135">SUM(AA36:AA52)</f>
        <v>#DIV/0!</v>
      </c>
      <c r="AB53" s="190">
        <f t="shared" si="134"/>
        <v>0</v>
      </c>
      <c r="AC53" s="191" t="e">
        <f t="shared" si="135"/>
        <v>#DIV/0!</v>
      </c>
      <c r="AD53" s="190">
        <f t="shared" si="135"/>
        <v>0</v>
      </c>
      <c r="AE53" s="191" t="e">
        <f t="shared" ref="AE53:AG53" si="136">SUM(AE36:AE52)</f>
        <v>#DIV/0!</v>
      </c>
      <c r="AF53" s="190">
        <f t="shared" si="136"/>
        <v>0</v>
      </c>
      <c r="AG53" s="191" t="e">
        <f t="shared" si="136"/>
        <v>#DIV/0!</v>
      </c>
      <c r="AH53" s="190">
        <f t="shared" ref="AH53:AI53" si="137">SUM(AH36:AH52)</f>
        <v>0</v>
      </c>
      <c r="AI53" s="191" t="e">
        <f t="shared" si="137"/>
        <v>#DIV/0!</v>
      </c>
      <c r="AJ53" s="190">
        <f t="shared" ref="AJ53:AK53" si="138">SUM(AJ36:AJ52)</f>
        <v>0</v>
      </c>
      <c r="AK53" s="191" t="e">
        <f t="shared" si="138"/>
        <v>#DIV/0!</v>
      </c>
      <c r="AM53" s="201">
        <f>SUM(AM36:AM52)</f>
        <v>0</v>
      </c>
      <c r="AN53" s="197">
        <f>AM53/AM13</f>
        <v>0</v>
      </c>
    </row>
    <row r="54" spans="1:40" ht="15.75" thickTop="1" x14ac:dyDescent="0.25"/>
    <row r="55" spans="1:40" x14ac:dyDescent="0.25">
      <c r="A55" s="202" t="s">
        <v>62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40" x14ac:dyDescent="0.25">
      <c r="A56" t="s">
        <v>85</v>
      </c>
      <c r="B56" s="115">
        <f>SUMIFS(Tabla_Registro_de_movimientos_app.accdb[Importe_Gasto],Tabla_Registro_de_movimientos_app.accdb[Sucursal],Sucursal!$B$5,Tabla_Registro_de_movimientos_app.accdb[Detalle de movimiento],Sucursal!A56,Tabla_Registro_de_movimientos_app.accdb[Fecha],"&gt;"&amp;Sucursal!$B$4,Tabla_Registro_de_movimientos_app.accdb[Fecha],"&lt;="&amp;Sucursal!$C$4)</f>
        <v>0</v>
      </c>
      <c r="C56" s="194" t="e">
        <f>B56/$B$69</f>
        <v>#DIV/0!</v>
      </c>
      <c r="D56" s="115">
        <f>SUMIFS(Tabla_Registro_de_movimientos_app.accdb[Importe_Gasto],Tabla_Registro_de_movimientos_app.accdb[Sucursal],Sucursal!D$5,Tabla_Registro_de_movimientos_app.accdb[Detalle de movimiento],Sucursal!$A56,Tabla_Registro_de_movimientos_app.accdb[Fecha],"&gt;"&amp;Sucursal!$B$4,Tabla_Registro_de_movimientos_app.accdb[Fecha],"&lt;="&amp;Sucursal!$C$4)</f>
        <v>0</v>
      </c>
      <c r="E56" s="187" t="e">
        <f>D56/D$69</f>
        <v>#DIV/0!</v>
      </c>
      <c r="F56" s="115">
        <f>SUMIFS(Tabla_Registro_de_movimientos_app.accdb[Importe_Gasto],Tabla_Registro_de_movimientos_app.accdb[Sucursal],Sucursal!F$5,Tabla_Registro_de_movimientos_app.accdb[Detalle de movimiento],Sucursal!$A56,Tabla_Registro_de_movimientos_app.accdb[Fecha],"&gt;"&amp;Sucursal!$B$4,Tabla_Registro_de_movimientos_app.accdb[Fecha],"&lt;="&amp;Sucursal!$C$4)</f>
        <v>0</v>
      </c>
      <c r="G56" s="187" t="e">
        <f>F56/F$69</f>
        <v>#DIV/0!</v>
      </c>
      <c r="H56" s="115">
        <f>SUMIFS(Tabla_Registro_de_movimientos_app.accdb[Importe_Gasto],Tabla_Registro_de_movimientos_app.accdb[Sucursal],Sucursal!H$5,Tabla_Registro_de_movimientos_app.accdb[Detalle de movimiento],Sucursal!$A56,Tabla_Registro_de_movimientos_app.accdb[Fecha],"&gt;"&amp;Sucursal!$B$4,Tabla_Registro_de_movimientos_app.accdb[Fecha],"&lt;="&amp;Sucursal!$C$4)</f>
        <v>0</v>
      </c>
      <c r="I56" s="187" t="e">
        <f>H56/H$69</f>
        <v>#DIV/0!</v>
      </c>
      <c r="J56">
        <f>SUMIFS(Tabla_Registro_de_movimientos_app.accdb[Importe_Gasto],Tabla_Registro_de_movimientos_app.accdb[Sucursal],Sucursal!J$5,Tabla_Registro_de_movimientos_app.accdb[Detalle de movimiento],Sucursal!$A56,Tabla_Registro_de_movimientos_app.accdb[Fecha],"&gt;"&amp;Sucursal!$B$4,Tabla_Registro_de_movimientos_app.accdb[Fecha],"&lt;="&amp;Sucursal!$C$4)</f>
        <v>0</v>
      </c>
      <c r="K56" s="187" t="e">
        <f>J56/J$69</f>
        <v>#DIV/0!</v>
      </c>
      <c r="L56" s="115">
        <f>SUMIFS(Tabla_Registro_de_movimientos_app.accdb[Importe_Gasto],Tabla_Registro_de_movimientos_app.accdb[Sucursal],Sucursal!L$5,Tabla_Registro_de_movimientos_app.accdb[Detalle de movimiento],Sucursal!$A56,Tabla_Registro_de_movimientos_app.accdb[Fecha],"&gt;"&amp;Sucursal!$B$4,Tabla_Registro_de_movimientos_app.accdb[Fecha],"&lt;="&amp;Sucursal!$C$4)</f>
        <v>0</v>
      </c>
      <c r="M56" s="187" t="e">
        <f>L56/L$69</f>
        <v>#DIV/0!</v>
      </c>
      <c r="N56" s="115">
        <f>SUMIFS(Tabla_Registro_de_movimientos_app.accdb[Importe_Gasto],Tabla_Registro_de_movimientos_app.accdb[Sucursal],Sucursal!N$5,Tabla_Registro_de_movimientos_app.accdb[Detalle de movimiento],Sucursal!$A56,Tabla_Registro_de_movimientos_app.accdb[Fecha],"&gt;"&amp;Sucursal!$B$4,Tabla_Registro_de_movimientos_app.accdb[Fecha],"&lt;="&amp;Sucursal!$C$4)</f>
        <v>0</v>
      </c>
      <c r="O56" s="187" t="e">
        <f>N56/N$69</f>
        <v>#DIV/0!</v>
      </c>
      <c r="P56" s="115">
        <f>SUMIFS(Tabla_Registro_de_movimientos_app.accdb[Importe_Gasto],Tabla_Registro_de_movimientos_app.accdb[Sucursal],Sucursal!P$5,Tabla_Registro_de_movimientos_app.accdb[Detalle de movimiento],Sucursal!$A56,Tabla_Registro_de_movimientos_app.accdb[Fecha],"&gt;"&amp;Sucursal!$B$4,Tabla_Registro_de_movimientos_app.accdb[Fecha],"&lt;="&amp;Sucursal!$C$4)</f>
        <v>0</v>
      </c>
      <c r="Q56" s="187" t="e">
        <f>P56/P$69</f>
        <v>#DIV/0!</v>
      </c>
      <c r="R56" s="115">
        <f>SUMIFS(Tabla_Registro_de_movimientos_app.accdb[Importe_Gasto],Tabla_Registro_de_movimientos_app.accdb[Sucursal],Sucursal!R$5,Tabla_Registro_de_movimientos_app.accdb[Detalle de movimiento],Sucursal!$A56,Tabla_Registro_de_movimientos_app.accdb[Fecha],"&gt;"&amp;Sucursal!$B$4,Tabla_Registro_de_movimientos_app.accdb[Fecha],"&lt;="&amp;Sucursal!$C$4)</f>
        <v>0</v>
      </c>
      <c r="S56" s="187" t="e">
        <f>R56/R$69</f>
        <v>#DIV/0!</v>
      </c>
      <c r="T56" s="115">
        <f>SUMIFS(Tabla_Registro_de_movimientos_app.accdb[Importe_Gasto],Tabla_Registro_de_movimientos_app.accdb[Sucursal],Sucursal!T$5,Tabla_Registro_de_movimientos_app.accdb[Detalle de movimiento],Sucursal!$A56,Tabla_Registro_de_movimientos_app.accdb[Fecha],"&gt;"&amp;Sucursal!$B$4,Tabla_Registro_de_movimientos_app.accdb[Fecha],"&lt;="&amp;Sucursal!$C$4)</f>
        <v>0</v>
      </c>
      <c r="U56" s="187" t="e">
        <f>T56/T$69</f>
        <v>#DIV/0!</v>
      </c>
      <c r="V56">
        <f>SUMIFS(Tabla_Registro_de_movimientos_app.accdb[Importe_Gasto],Tabla_Registro_de_movimientos_app.accdb[Sucursal],Sucursal!V$5,Tabla_Registro_de_movimientos_app.accdb[Detalle de movimiento],Sucursal!$A56,Tabla_Registro_de_movimientos_app.accdb[Fecha],"&gt;"&amp;Sucursal!$B$4,Tabla_Registro_de_movimientos_app.accdb[Fecha],"&lt;="&amp;Sucursal!$C$4)</f>
        <v>0</v>
      </c>
      <c r="W56" s="187" t="e">
        <f>V56/V$69</f>
        <v>#DIV/0!</v>
      </c>
      <c r="X56" s="115">
        <f>SUMIFS(Tabla_Registro_de_movimientos_app.accdb[Importe_Gasto],Tabla_Registro_de_movimientos_app.accdb[Sucursal],Sucursal!X$5,Tabla_Registro_de_movimientos_app.accdb[Detalle de movimiento],Sucursal!$A56,Tabla_Registro_de_movimientos_app.accdb[Fecha],"&gt;"&amp;Sucursal!$B$4,Tabla_Registro_de_movimientos_app.accdb[Fecha],"&lt;="&amp;Sucursal!$C$4)</f>
        <v>0</v>
      </c>
      <c r="Y56" s="187" t="e">
        <f>X56/X$69</f>
        <v>#DIV/0!</v>
      </c>
      <c r="Z56" s="115">
        <f>SUMIFS(Tabla_Registro_de_movimientos_app.accdb[Importe_Gasto],Tabla_Registro_de_movimientos_app.accdb[Sucursal],Sucursal!Z$5,Tabla_Registro_de_movimientos_app.accdb[Detalle de movimiento],Sucursal!$A56,Tabla_Registro_de_movimientos_app.accdb[Fecha],"&gt;"&amp;Sucursal!$B$4,Tabla_Registro_de_movimientos_app.accdb[Fecha],"&lt;="&amp;Sucursal!$C$4)</f>
        <v>0</v>
      </c>
      <c r="AA56" s="187" t="e">
        <f>Z56/Z$69</f>
        <v>#DIV/0!</v>
      </c>
      <c r="AB56">
        <f>SUMIFS(Tabla_Registro_de_movimientos_app.accdb[Importe_Gasto],Tabla_Registro_de_movimientos_app.accdb[Sucursal],Sucursal!AB$5,Tabla_Registro_de_movimientos_app.accdb[Detalle de movimiento],Sucursal!$A56,Tabla_Registro_de_movimientos_app.accdb[Fecha],"&gt;"&amp;Sucursal!$B$4,Tabla_Registro_de_movimientos_app.accdb[Fecha],"&lt;="&amp;Sucursal!$C$4)</f>
        <v>0</v>
      </c>
      <c r="AC56" s="187" t="e">
        <f>AB56/AB$69</f>
        <v>#DIV/0!</v>
      </c>
      <c r="AD56" s="115">
        <f>SUMIFS(Tabla_Registro_de_movimientos_app.accdb[Importe_Gasto],Tabla_Registro_de_movimientos_app.accdb[Sucursal],Sucursal!AD$5,Tabla_Registro_de_movimientos_app.accdb[Detalle de movimiento],Sucursal!$A56,Tabla_Registro_de_movimientos_app.accdb[Fecha],"&gt;"&amp;Sucursal!$B$4,Tabla_Registro_de_movimientos_app.accdb[Fecha],"&lt;="&amp;Sucursal!$C$4)</f>
        <v>0</v>
      </c>
      <c r="AE56" s="187" t="e">
        <f>AD56/AD$69</f>
        <v>#DIV/0!</v>
      </c>
      <c r="AF56" s="115">
        <f>SUMIFS(Tabla_Registro_de_movimientos_app.accdb[Importe_Gasto],Tabla_Registro_de_movimientos_app.accdb[Sucursal],Sucursal!AF$5,Tabla_Registro_de_movimientos_app.accdb[Detalle de movimiento],Sucursal!$A56,Tabla_Registro_de_movimientos_app.accdb[Fecha],"&gt;"&amp;Sucursal!$B$4,Tabla_Registro_de_movimientos_app.accdb[Fecha],"&lt;="&amp;Sucursal!$C$4)</f>
        <v>0</v>
      </c>
      <c r="AG56" s="187" t="e">
        <f>AF56/AF$69</f>
        <v>#DIV/0!</v>
      </c>
      <c r="AH56">
        <f>SUMIFS(Tabla_Registro_de_movimientos_app.accdb[Importe_Gasto],Tabla_Registro_de_movimientos_app.accdb[Sucursal],Sucursal!AH$5,Tabla_Registro_de_movimientos_app.accdb[Detalle de movimiento],Sucursal!$A56,Tabla_Registro_de_movimientos_app.accdb[Fecha],"&gt;"&amp;Sucursal!$B$4,Tabla_Registro_de_movimientos_app.accdb[Fecha],"&lt;="&amp;Sucursal!$C$4)</f>
        <v>0</v>
      </c>
      <c r="AI56" s="187" t="e">
        <f>AH56/AH$69</f>
        <v>#DIV/0!</v>
      </c>
      <c r="AJ56">
        <f>SUMIFS(Tabla_Registro_de_movimientos_app.accdb[Importe_Gasto],Tabla_Registro_de_movimientos_app.accdb[Sucursal],Sucursal!AJ$5,Tabla_Registro_de_movimientos_app.accdb[Detalle de movimiento],Sucursal!$A56,Tabla_Registro_de_movimientos_app.accdb[Fecha],"&gt;"&amp;Sucursal!$B$4,Tabla_Registro_de_movimientos_app.accdb[Fecha],"&lt;="&amp;Sucursal!$C$4)</f>
        <v>0</v>
      </c>
      <c r="AK56" s="187" t="e">
        <f>AJ56/AJ$69</f>
        <v>#DIV/0!</v>
      </c>
      <c r="AM56" s="188">
        <f>SUM(B56,D56,F56,H56,J56,L56,N56,P56,R56,T56,V56,X56,Z56,AB56,AD56,AF56,AH56,AJ56)</f>
        <v>0</v>
      </c>
      <c r="AN56" s="189" t="e">
        <f>AM56/$AM$69</f>
        <v>#DIV/0!</v>
      </c>
    </row>
    <row r="57" spans="1:40" x14ac:dyDescent="0.25">
      <c r="A57" t="s">
        <v>63</v>
      </c>
      <c r="B57" s="115">
        <f>SUMIFS(Tabla_Registro_de_movimientos_app.accdb[Importe_Gasto],Tabla_Registro_de_movimientos_app.accdb[Sucursal],Sucursal!$B$5,Tabla_Registro_de_movimientos_app.accdb[Detalle de movimiento],Sucursal!A57,Tabla_Registro_de_movimientos_app.accdb[Fecha],"&gt;"&amp;Sucursal!$B$4,Tabla_Registro_de_movimientos_app.accdb[Fecha],"&lt;="&amp;Sucursal!$C$4)</f>
        <v>0</v>
      </c>
      <c r="C57" s="194" t="e">
        <f t="shared" ref="C57:C68" si="139">B57/$B$69</f>
        <v>#DIV/0!</v>
      </c>
      <c r="D57" s="115">
        <f>SUMIFS(Tabla_Registro_de_movimientos_app.accdb[Importe_Gasto],Tabla_Registro_de_movimientos_app.accdb[Sucursal],Sucursal!D$5,Tabla_Registro_de_movimientos_app.accdb[Detalle de movimiento],Sucursal!$A57,Tabla_Registro_de_movimientos_app.accdb[Fecha],"&gt;"&amp;Sucursal!$B$4,Tabla_Registro_de_movimientos_app.accdb[Fecha],"&lt;="&amp;Sucursal!$C$4)</f>
        <v>0</v>
      </c>
      <c r="E57" s="187" t="e">
        <f t="shared" ref="E57:E68" si="140">D57/D$69</f>
        <v>#DIV/0!</v>
      </c>
      <c r="F57" s="115">
        <f>SUMIFS(Tabla_Registro_de_movimientos_app.accdb[Importe_Gasto],Tabla_Registro_de_movimientos_app.accdb[Sucursal],Sucursal!F$5,Tabla_Registro_de_movimientos_app.accdb[Detalle de movimiento],Sucursal!$A57,Tabla_Registro_de_movimientos_app.accdb[Fecha],"&gt;"&amp;Sucursal!$B$4,Tabla_Registro_de_movimientos_app.accdb[Fecha],"&lt;="&amp;Sucursal!$C$4)</f>
        <v>0</v>
      </c>
      <c r="G57" s="187" t="e">
        <f t="shared" ref="G57" si="141">F57/F$69</f>
        <v>#DIV/0!</v>
      </c>
      <c r="H57" s="115">
        <f>SUMIFS(Tabla_Registro_de_movimientos_app.accdb[Importe_Gasto],Tabla_Registro_de_movimientos_app.accdb[Sucursal],Sucursal!H$5,Tabla_Registro_de_movimientos_app.accdb[Detalle de movimiento],Sucursal!$A57,Tabla_Registro_de_movimientos_app.accdb[Fecha],"&gt;"&amp;Sucursal!$B$4,Tabla_Registro_de_movimientos_app.accdb[Fecha],"&lt;="&amp;Sucursal!$C$4)</f>
        <v>0</v>
      </c>
      <c r="I57" s="187" t="e">
        <f t="shared" ref="I57:I68" si="142">H57/H$69</f>
        <v>#DIV/0!</v>
      </c>
      <c r="J57">
        <f>SUMIFS(Tabla_Registro_de_movimientos_app.accdb[Importe_Gasto],Tabla_Registro_de_movimientos_app.accdb[Sucursal],Sucursal!J$5,Tabla_Registro_de_movimientos_app.accdb[Detalle de movimiento],Sucursal!$A57,Tabla_Registro_de_movimientos_app.accdb[Fecha],"&gt;"&amp;Sucursal!$B$4,Tabla_Registro_de_movimientos_app.accdb[Fecha],"&lt;="&amp;Sucursal!$C$4)</f>
        <v>0</v>
      </c>
      <c r="K57" s="187" t="e">
        <f t="shared" ref="K57:K68" si="143">J57/J$69</f>
        <v>#DIV/0!</v>
      </c>
      <c r="L57" s="115">
        <f>SUMIFS(Tabla_Registro_de_movimientos_app.accdb[Importe_Gasto],Tabla_Registro_de_movimientos_app.accdb[Sucursal],Sucursal!L$5,Tabla_Registro_de_movimientos_app.accdb[Detalle de movimiento],Sucursal!$A57,Tabla_Registro_de_movimientos_app.accdb[Fecha],"&gt;"&amp;Sucursal!$B$4,Tabla_Registro_de_movimientos_app.accdb[Fecha],"&lt;="&amp;Sucursal!$C$4)</f>
        <v>0</v>
      </c>
      <c r="M57" s="187" t="e">
        <f t="shared" ref="M57:M68" si="144">L57/L$69</f>
        <v>#DIV/0!</v>
      </c>
      <c r="N57" s="115">
        <f>SUMIFS(Tabla_Registro_de_movimientos_app.accdb[Importe_Gasto],Tabla_Registro_de_movimientos_app.accdb[Sucursal],Sucursal!N$5,Tabla_Registro_de_movimientos_app.accdb[Detalle de movimiento],Sucursal!$A57,Tabla_Registro_de_movimientos_app.accdb[Fecha],"&gt;"&amp;Sucursal!$B$4,Tabla_Registro_de_movimientos_app.accdb[Fecha],"&lt;="&amp;Sucursal!$C$4)</f>
        <v>0</v>
      </c>
      <c r="O57" s="187" t="e">
        <f t="shared" ref="O57:O68" si="145">N57/N$69</f>
        <v>#DIV/0!</v>
      </c>
      <c r="P57" s="115">
        <f>SUMIFS(Tabla_Registro_de_movimientos_app.accdb[Importe_Gasto],Tabla_Registro_de_movimientos_app.accdb[Sucursal],Sucursal!P$5,Tabla_Registro_de_movimientos_app.accdb[Detalle de movimiento],Sucursal!$A57,Tabla_Registro_de_movimientos_app.accdb[Fecha],"&gt;"&amp;Sucursal!$B$4,Tabla_Registro_de_movimientos_app.accdb[Fecha],"&lt;="&amp;Sucursal!$C$4)</f>
        <v>0</v>
      </c>
      <c r="Q57" s="187" t="e">
        <f t="shared" ref="Q57:Q68" si="146">P57/P$69</f>
        <v>#DIV/0!</v>
      </c>
      <c r="R57" s="115">
        <f>SUMIFS(Tabla_Registro_de_movimientos_app.accdb[Importe_Gasto],Tabla_Registro_de_movimientos_app.accdb[Sucursal],Sucursal!R$5,Tabla_Registro_de_movimientos_app.accdb[Detalle de movimiento],Sucursal!$A57,Tabla_Registro_de_movimientos_app.accdb[Fecha],"&gt;"&amp;Sucursal!$B$4,Tabla_Registro_de_movimientos_app.accdb[Fecha],"&lt;="&amp;Sucursal!$C$4)</f>
        <v>0</v>
      </c>
      <c r="S57" s="187" t="e">
        <f t="shared" ref="S57:S68" si="147">R57/R$69</f>
        <v>#DIV/0!</v>
      </c>
      <c r="T57" s="115">
        <f>SUMIFS(Tabla_Registro_de_movimientos_app.accdb[Importe_Gasto],Tabla_Registro_de_movimientos_app.accdb[Sucursal],Sucursal!T$5,Tabla_Registro_de_movimientos_app.accdb[Detalle de movimiento],Sucursal!$A57,Tabla_Registro_de_movimientos_app.accdb[Fecha],"&gt;"&amp;Sucursal!$B$4,Tabla_Registro_de_movimientos_app.accdb[Fecha],"&lt;="&amp;Sucursal!$C$4)</f>
        <v>0</v>
      </c>
      <c r="U57" s="187" t="e">
        <f t="shared" ref="U57:U68" si="148">T57/T$69</f>
        <v>#DIV/0!</v>
      </c>
      <c r="V57">
        <f>SUMIFS(Tabla_Registro_de_movimientos_app.accdb[Importe_Gasto],Tabla_Registro_de_movimientos_app.accdb[Sucursal],Sucursal!V$5,Tabla_Registro_de_movimientos_app.accdb[Detalle de movimiento],Sucursal!$A57,Tabla_Registro_de_movimientos_app.accdb[Fecha],"&gt;"&amp;Sucursal!$B$4,Tabla_Registro_de_movimientos_app.accdb[Fecha],"&lt;="&amp;Sucursal!$C$4)</f>
        <v>0</v>
      </c>
      <c r="W57" s="187" t="e">
        <f t="shared" ref="W57:W68" si="149">V57/V$69</f>
        <v>#DIV/0!</v>
      </c>
      <c r="X57" s="115">
        <f>SUMIFS(Tabla_Registro_de_movimientos_app.accdb[Importe_Gasto],Tabla_Registro_de_movimientos_app.accdb[Sucursal],Sucursal!X$5,Tabla_Registro_de_movimientos_app.accdb[Detalle de movimiento],Sucursal!$A57,Tabla_Registro_de_movimientos_app.accdb[Fecha],"&gt;"&amp;Sucursal!$B$4,Tabla_Registro_de_movimientos_app.accdb[Fecha],"&lt;="&amp;Sucursal!$C$4)</f>
        <v>0</v>
      </c>
      <c r="Y57" s="187" t="e">
        <f t="shared" ref="Y57:Y68" si="150">X57/X$69</f>
        <v>#DIV/0!</v>
      </c>
      <c r="Z57" s="115">
        <f>SUMIFS(Tabla_Registro_de_movimientos_app.accdb[Importe_Gasto],Tabla_Registro_de_movimientos_app.accdb[Sucursal],Sucursal!Z$5,Tabla_Registro_de_movimientos_app.accdb[Detalle de movimiento],Sucursal!$A57,Tabla_Registro_de_movimientos_app.accdb[Fecha],"&gt;"&amp;Sucursal!$B$4,Tabla_Registro_de_movimientos_app.accdb[Fecha],"&lt;="&amp;Sucursal!$C$4)</f>
        <v>0</v>
      </c>
      <c r="AA57" s="187" t="e">
        <f t="shared" ref="AA57:AA68" si="151">Z57/Z$69</f>
        <v>#DIV/0!</v>
      </c>
      <c r="AB57">
        <f>SUMIFS(Tabla_Registro_de_movimientos_app.accdb[Importe_Gasto],Tabla_Registro_de_movimientos_app.accdb[Sucursal],Sucursal!AB$5,Tabla_Registro_de_movimientos_app.accdb[Detalle de movimiento],Sucursal!$A57,Tabla_Registro_de_movimientos_app.accdb[Fecha],"&gt;"&amp;Sucursal!$B$4,Tabla_Registro_de_movimientos_app.accdb[Fecha],"&lt;="&amp;Sucursal!$C$4)</f>
        <v>0</v>
      </c>
      <c r="AC57" s="187" t="e">
        <f t="shared" ref="AC57:AC68" si="152">AB57/AB$69</f>
        <v>#DIV/0!</v>
      </c>
      <c r="AD57" s="115">
        <f>SUMIFS(Tabla_Registro_de_movimientos_app.accdb[Importe_Gasto],Tabla_Registro_de_movimientos_app.accdb[Sucursal],Sucursal!AD$5,Tabla_Registro_de_movimientos_app.accdb[Detalle de movimiento],Sucursal!$A57,Tabla_Registro_de_movimientos_app.accdb[Fecha],"&gt;"&amp;Sucursal!$B$4,Tabla_Registro_de_movimientos_app.accdb[Fecha],"&lt;="&amp;Sucursal!$C$4)</f>
        <v>0</v>
      </c>
      <c r="AE57" s="187" t="e">
        <f t="shared" ref="AE57:AE68" si="153">AD57/AD$69</f>
        <v>#DIV/0!</v>
      </c>
      <c r="AF57" s="115">
        <f>SUMIFS(Tabla_Registro_de_movimientos_app.accdb[Importe_Gasto],Tabla_Registro_de_movimientos_app.accdb[Sucursal],Sucursal!AF$5,Tabla_Registro_de_movimientos_app.accdb[Detalle de movimiento],Sucursal!$A57,Tabla_Registro_de_movimientos_app.accdb[Fecha],"&gt;"&amp;Sucursal!$B$4,Tabla_Registro_de_movimientos_app.accdb[Fecha],"&lt;="&amp;Sucursal!$C$4)</f>
        <v>0</v>
      </c>
      <c r="AG57" s="187" t="e">
        <f t="shared" ref="AG57:AG68" si="154">AF57/AF$69</f>
        <v>#DIV/0!</v>
      </c>
      <c r="AH57">
        <f>SUMIFS(Tabla_Registro_de_movimientos_app.accdb[Importe_Gasto],Tabla_Registro_de_movimientos_app.accdb[Sucursal],Sucursal!AH$5,Tabla_Registro_de_movimientos_app.accdb[Detalle de movimiento],Sucursal!$A57,Tabla_Registro_de_movimientos_app.accdb[Fecha],"&gt;"&amp;Sucursal!$B$4,Tabla_Registro_de_movimientos_app.accdb[Fecha],"&lt;="&amp;Sucursal!$C$4)</f>
        <v>0</v>
      </c>
      <c r="AI57" s="187" t="e">
        <f t="shared" ref="AI57:AI68" si="155">AH57/AH$69</f>
        <v>#DIV/0!</v>
      </c>
      <c r="AJ57">
        <f>SUMIFS(Tabla_Registro_de_movimientos_app.accdb[Importe_Gasto],Tabla_Registro_de_movimientos_app.accdb[Sucursal],Sucursal!AJ$5,Tabla_Registro_de_movimientos_app.accdb[Detalle de movimiento],Sucursal!$A57,Tabla_Registro_de_movimientos_app.accdb[Fecha],"&gt;"&amp;Sucursal!$B$4,Tabla_Registro_de_movimientos_app.accdb[Fecha],"&lt;="&amp;Sucursal!$C$4)</f>
        <v>0</v>
      </c>
      <c r="AK57" s="187" t="e">
        <f t="shared" ref="AK57:AK68" si="156">AJ57/AJ$69</f>
        <v>#DIV/0!</v>
      </c>
      <c r="AM57" s="188">
        <f t="shared" ref="AM57:AM68" si="157">SUM(B57,D57,F57,H57,J57,L57,N57,P57,R57,T57,V57,X57,Z57,AB57,AD57,AF57,AH57,AJ57)</f>
        <v>0</v>
      </c>
      <c r="AN57" s="189" t="e">
        <f t="shared" ref="AN57:AN68" si="158">AM57/$AM$69</f>
        <v>#DIV/0!</v>
      </c>
    </row>
    <row r="58" spans="1:40" x14ac:dyDescent="0.25">
      <c r="A58" t="s">
        <v>64</v>
      </c>
      <c r="B58" s="115">
        <f>SUMIFS(Tabla_Registro_de_movimientos_app.accdb[Importe_Gasto],Tabla_Registro_de_movimientos_app.accdb[Sucursal],Sucursal!$B$5,Tabla_Registro_de_movimientos_app.accdb[Detalle de movimiento],Sucursal!A58,Tabla_Registro_de_movimientos_app.accdb[Fecha],"&gt;"&amp;Sucursal!$B$4,Tabla_Registro_de_movimientos_app.accdb[Fecha],"&lt;="&amp;Sucursal!$C$4)</f>
        <v>0</v>
      </c>
      <c r="C58" s="194" t="e">
        <f t="shared" si="139"/>
        <v>#DIV/0!</v>
      </c>
      <c r="D58" s="115">
        <f>SUMIFS(Tabla_Registro_de_movimientos_app.accdb[Importe_Gasto],Tabla_Registro_de_movimientos_app.accdb[Sucursal],Sucursal!D$5,Tabla_Registro_de_movimientos_app.accdb[Detalle de movimiento],Sucursal!$A58,Tabla_Registro_de_movimientos_app.accdb[Fecha],"&gt;"&amp;Sucursal!$B$4,Tabla_Registro_de_movimientos_app.accdb[Fecha],"&lt;="&amp;Sucursal!$C$4)</f>
        <v>0</v>
      </c>
      <c r="E58" s="187" t="e">
        <f t="shared" si="140"/>
        <v>#DIV/0!</v>
      </c>
      <c r="F58" s="115">
        <f>SUMIFS(Tabla_Registro_de_movimientos_app.accdb[Importe_Gasto],Tabla_Registro_de_movimientos_app.accdb[Sucursal],Sucursal!F$5,Tabla_Registro_de_movimientos_app.accdb[Detalle de movimiento],Sucursal!$A58,Tabla_Registro_de_movimientos_app.accdb[Fecha],"&gt;"&amp;Sucursal!$B$4,Tabla_Registro_de_movimientos_app.accdb[Fecha],"&lt;="&amp;Sucursal!$C$4)</f>
        <v>0</v>
      </c>
      <c r="G58" s="187" t="e">
        <f t="shared" ref="G58" si="159">F58/F$69</f>
        <v>#DIV/0!</v>
      </c>
      <c r="H58" s="115">
        <f>SUMIFS(Tabla_Registro_de_movimientos_app.accdb[Importe_Gasto],Tabla_Registro_de_movimientos_app.accdb[Sucursal],Sucursal!H$5,Tabla_Registro_de_movimientos_app.accdb[Detalle de movimiento],Sucursal!$A58,Tabla_Registro_de_movimientos_app.accdb[Fecha],"&gt;"&amp;Sucursal!$B$4,Tabla_Registro_de_movimientos_app.accdb[Fecha],"&lt;="&amp;Sucursal!$C$4)</f>
        <v>0</v>
      </c>
      <c r="I58" s="187" t="e">
        <f t="shared" si="142"/>
        <v>#DIV/0!</v>
      </c>
      <c r="J58">
        <f>SUMIFS(Tabla_Registro_de_movimientos_app.accdb[Importe_Gasto],Tabla_Registro_de_movimientos_app.accdb[Sucursal],Sucursal!J$5,Tabla_Registro_de_movimientos_app.accdb[Detalle de movimiento],Sucursal!$A58,Tabla_Registro_de_movimientos_app.accdb[Fecha],"&gt;"&amp;Sucursal!$B$4,Tabla_Registro_de_movimientos_app.accdb[Fecha],"&lt;="&amp;Sucursal!$C$4)</f>
        <v>0</v>
      </c>
      <c r="K58" s="187" t="e">
        <f t="shared" si="143"/>
        <v>#DIV/0!</v>
      </c>
      <c r="L58" s="115">
        <f>SUMIFS(Tabla_Registro_de_movimientos_app.accdb[Importe_Gasto],Tabla_Registro_de_movimientos_app.accdb[Sucursal],Sucursal!L$5,Tabla_Registro_de_movimientos_app.accdb[Detalle de movimiento],Sucursal!$A58,Tabla_Registro_de_movimientos_app.accdb[Fecha],"&gt;"&amp;Sucursal!$B$4,Tabla_Registro_de_movimientos_app.accdb[Fecha],"&lt;="&amp;Sucursal!$C$4)</f>
        <v>0</v>
      </c>
      <c r="M58" s="187" t="e">
        <f t="shared" si="144"/>
        <v>#DIV/0!</v>
      </c>
      <c r="N58" s="115">
        <f>SUMIFS(Tabla_Registro_de_movimientos_app.accdb[Importe_Gasto],Tabla_Registro_de_movimientos_app.accdb[Sucursal],Sucursal!N$5,Tabla_Registro_de_movimientos_app.accdb[Detalle de movimiento],Sucursal!$A58,Tabla_Registro_de_movimientos_app.accdb[Fecha],"&gt;"&amp;Sucursal!$B$4,Tabla_Registro_de_movimientos_app.accdb[Fecha],"&lt;="&amp;Sucursal!$C$4)</f>
        <v>0</v>
      </c>
      <c r="O58" s="187" t="e">
        <f t="shared" si="145"/>
        <v>#DIV/0!</v>
      </c>
      <c r="P58" s="115">
        <f>SUMIFS(Tabla_Registro_de_movimientos_app.accdb[Importe_Gasto],Tabla_Registro_de_movimientos_app.accdb[Sucursal],Sucursal!P$5,Tabla_Registro_de_movimientos_app.accdb[Detalle de movimiento],Sucursal!$A58,Tabla_Registro_de_movimientos_app.accdb[Fecha],"&gt;"&amp;Sucursal!$B$4,Tabla_Registro_de_movimientos_app.accdb[Fecha],"&lt;="&amp;Sucursal!$C$4)</f>
        <v>0</v>
      </c>
      <c r="Q58" s="187" t="e">
        <f t="shared" si="146"/>
        <v>#DIV/0!</v>
      </c>
      <c r="R58" s="115">
        <f>SUMIFS(Tabla_Registro_de_movimientos_app.accdb[Importe_Gasto],Tabla_Registro_de_movimientos_app.accdb[Sucursal],Sucursal!R$5,Tabla_Registro_de_movimientos_app.accdb[Detalle de movimiento],Sucursal!$A58,Tabla_Registro_de_movimientos_app.accdb[Fecha],"&gt;"&amp;Sucursal!$B$4,Tabla_Registro_de_movimientos_app.accdb[Fecha],"&lt;="&amp;Sucursal!$C$4)</f>
        <v>0</v>
      </c>
      <c r="S58" s="187" t="e">
        <f t="shared" si="147"/>
        <v>#DIV/0!</v>
      </c>
      <c r="T58" s="115">
        <f>SUMIFS(Tabla_Registro_de_movimientos_app.accdb[Importe_Gasto],Tabla_Registro_de_movimientos_app.accdb[Sucursal],Sucursal!T$5,Tabla_Registro_de_movimientos_app.accdb[Detalle de movimiento],Sucursal!$A58,Tabla_Registro_de_movimientos_app.accdb[Fecha],"&gt;"&amp;Sucursal!$B$4,Tabla_Registro_de_movimientos_app.accdb[Fecha],"&lt;="&amp;Sucursal!$C$4)</f>
        <v>0</v>
      </c>
      <c r="U58" s="187" t="e">
        <f t="shared" si="148"/>
        <v>#DIV/0!</v>
      </c>
      <c r="V58">
        <f>SUMIFS(Tabla_Registro_de_movimientos_app.accdb[Importe_Gasto],Tabla_Registro_de_movimientos_app.accdb[Sucursal],Sucursal!V$5,Tabla_Registro_de_movimientos_app.accdb[Detalle de movimiento],Sucursal!$A58,Tabla_Registro_de_movimientos_app.accdb[Fecha],"&gt;"&amp;Sucursal!$B$4,Tabla_Registro_de_movimientos_app.accdb[Fecha],"&lt;="&amp;Sucursal!$C$4)</f>
        <v>0</v>
      </c>
      <c r="W58" s="187" t="e">
        <f t="shared" si="149"/>
        <v>#DIV/0!</v>
      </c>
      <c r="X58" s="115">
        <f>SUMIFS(Tabla_Registro_de_movimientos_app.accdb[Importe_Gasto],Tabla_Registro_de_movimientos_app.accdb[Sucursal],Sucursal!X$5,Tabla_Registro_de_movimientos_app.accdb[Detalle de movimiento],Sucursal!$A58,Tabla_Registro_de_movimientos_app.accdb[Fecha],"&gt;"&amp;Sucursal!$B$4,Tabla_Registro_de_movimientos_app.accdb[Fecha],"&lt;="&amp;Sucursal!$C$4)</f>
        <v>0</v>
      </c>
      <c r="Y58" s="187" t="e">
        <f t="shared" si="150"/>
        <v>#DIV/0!</v>
      </c>
      <c r="Z58" s="115">
        <f>SUMIFS(Tabla_Registro_de_movimientos_app.accdb[Importe_Gasto],Tabla_Registro_de_movimientos_app.accdb[Sucursal],Sucursal!Z$5,Tabla_Registro_de_movimientos_app.accdb[Detalle de movimiento],Sucursal!$A58,Tabla_Registro_de_movimientos_app.accdb[Fecha],"&gt;"&amp;Sucursal!$B$4,Tabla_Registro_de_movimientos_app.accdb[Fecha],"&lt;="&amp;Sucursal!$C$4)</f>
        <v>0</v>
      </c>
      <c r="AA58" s="187" t="e">
        <f t="shared" si="151"/>
        <v>#DIV/0!</v>
      </c>
      <c r="AB58">
        <f>SUMIFS(Tabla_Registro_de_movimientos_app.accdb[Importe_Gasto],Tabla_Registro_de_movimientos_app.accdb[Sucursal],Sucursal!AB$5,Tabla_Registro_de_movimientos_app.accdb[Detalle de movimiento],Sucursal!$A58,Tabla_Registro_de_movimientos_app.accdb[Fecha],"&gt;"&amp;Sucursal!$B$4,Tabla_Registro_de_movimientos_app.accdb[Fecha],"&lt;="&amp;Sucursal!$C$4)</f>
        <v>0</v>
      </c>
      <c r="AC58" s="187" t="e">
        <f t="shared" si="152"/>
        <v>#DIV/0!</v>
      </c>
      <c r="AD58" s="115">
        <f>SUMIFS(Tabla_Registro_de_movimientos_app.accdb[Importe_Gasto],Tabla_Registro_de_movimientos_app.accdb[Sucursal],Sucursal!AD$5,Tabla_Registro_de_movimientos_app.accdb[Detalle de movimiento],Sucursal!$A58,Tabla_Registro_de_movimientos_app.accdb[Fecha],"&gt;"&amp;Sucursal!$B$4,Tabla_Registro_de_movimientos_app.accdb[Fecha],"&lt;="&amp;Sucursal!$C$4)</f>
        <v>0</v>
      </c>
      <c r="AE58" s="187" t="e">
        <f t="shared" si="153"/>
        <v>#DIV/0!</v>
      </c>
      <c r="AF58" s="115">
        <f>SUMIFS(Tabla_Registro_de_movimientos_app.accdb[Importe_Gasto],Tabla_Registro_de_movimientos_app.accdb[Sucursal],Sucursal!AF$5,Tabla_Registro_de_movimientos_app.accdb[Detalle de movimiento],Sucursal!$A58,Tabla_Registro_de_movimientos_app.accdb[Fecha],"&gt;"&amp;Sucursal!$B$4,Tabla_Registro_de_movimientos_app.accdb[Fecha],"&lt;="&amp;Sucursal!$C$4)</f>
        <v>0</v>
      </c>
      <c r="AG58" s="187" t="e">
        <f t="shared" si="154"/>
        <v>#DIV/0!</v>
      </c>
      <c r="AH58">
        <f>SUMIFS(Tabla_Registro_de_movimientos_app.accdb[Importe_Gasto],Tabla_Registro_de_movimientos_app.accdb[Sucursal],Sucursal!AH$5,Tabla_Registro_de_movimientos_app.accdb[Detalle de movimiento],Sucursal!$A58,Tabla_Registro_de_movimientos_app.accdb[Fecha],"&gt;"&amp;Sucursal!$B$4,Tabla_Registro_de_movimientos_app.accdb[Fecha],"&lt;="&amp;Sucursal!$C$4)</f>
        <v>0</v>
      </c>
      <c r="AI58" s="187" t="e">
        <f t="shared" si="155"/>
        <v>#DIV/0!</v>
      </c>
      <c r="AJ58">
        <f>SUMIFS(Tabla_Registro_de_movimientos_app.accdb[Importe_Gasto],Tabla_Registro_de_movimientos_app.accdb[Sucursal],Sucursal!AJ$5,Tabla_Registro_de_movimientos_app.accdb[Detalle de movimiento],Sucursal!$A58,Tabla_Registro_de_movimientos_app.accdb[Fecha],"&gt;"&amp;Sucursal!$B$4,Tabla_Registro_de_movimientos_app.accdb[Fecha],"&lt;="&amp;Sucursal!$C$4)</f>
        <v>0</v>
      </c>
      <c r="AK58" s="187" t="e">
        <f t="shared" si="156"/>
        <v>#DIV/0!</v>
      </c>
      <c r="AM58" s="188">
        <f t="shared" si="157"/>
        <v>0</v>
      </c>
      <c r="AN58" s="189" t="e">
        <f t="shared" si="158"/>
        <v>#DIV/0!</v>
      </c>
    </row>
    <row r="59" spans="1:40" x14ac:dyDescent="0.25">
      <c r="A59" t="s">
        <v>65</v>
      </c>
      <c r="B59" s="115">
        <f>SUMIFS(Tabla_Registro_de_movimientos_app.accdb[Importe_Gasto],Tabla_Registro_de_movimientos_app.accdb[Sucursal],Sucursal!$B$5,Tabla_Registro_de_movimientos_app.accdb[Detalle de movimiento],Sucursal!A59,Tabla_Registro_de_movimientos_app.accdb[Fecha],"&gt;"&amp;Sucursal!$B$4,Tabla_Registro_de_movimientos_app.accdb[Fecha],"&lt;="&amp;Sucursal!$C$4)</f>
        <v>0</v>
      </c>
      <c r="C59" s="194" t="e">
        <f t="shared" si="139"/>
        <v>#DIV/0!</v>
      </c>
      <c r="D59" s="115">
        <f>SUMIFS(Tabla_Registro_de_movimientos_app.accdb[Importe_Gasto],Tabla_Registro_de_movimientos_app.accdb[Sucursal],Sucursal!D$5,Tabla_Registro_de_movimientos_app.accdb[Detalle de movimiento],Sucursal!$A59,Tabla_Registro_de_movimientos_app.accdb[Fecha],"&gt;"&amp;Sucursal!$B$4,Tabla_Registro_de_movimientos_app.accdb[Fecha],"&lt;="&amp;Sucursal!$C$4)</f>
        <v>0</v>
      </c>
      <c r="E59" s="187" t="e">
        <f t="shared" si="140"/>
        <v>#DIV/0!</v>
      </c>
      <c r="F59" s="115">
        <f>SUMIFS(Tabla_Registro_de_movimientos_app.accdb[Importe_Gasto],Tabla_Registro_de_movimientos_app.accdb[Sucursal],Sucursal!F$5,Tabla_Registro_de_movimientos_app.accdb[Detalle de movimiento],Sucursal!$A59,Tabla_Registro_de_movimientos_app.accdb[Fecha],"&gt;"&amp;Sucursal!$B$4,Tabla_Registro_de_movimientos_app.accdb[Fecha],"&lt;="&amp;Sucursal!$C$4)</f>
        <v>0</v>
      </c>
      <c r="G59" s="187" t="e">
        <f t="shared" ref="G59" si="160">F59/F$69</f>
        <v>#DIV/0!</v>
      </c>
      <c r="H59" s="115">
        <f>SUMIFS(Tabla_Registro_de_movimientos_app.accdb[Importe_Gasto],Tabla_Registro_de_movimientos_app.accdb[Sucursal],Sucursal!H$5,Tabla_Registro_de_movimientos_app.accdb[Detalle de movimiento],Sucursal!$A59,Tabla_Registro_de_movimientos_app.accdb[Fecha],"&gt;"&amp;Sucursal!$B$4,Tabla_Registro_de_movimientos_app.accdb[Fecha],"&lt;="&amp;Sucursal!$C$4)</f>
        <v>0</v>
      </c>
      <c r="I59" s="187" t="e">
        <f t="shared" si="142"/>
        <v>#DIV/0!</v>
      </c>
      <c r="J59">
        <f>SUMIFS(Tabla_Registro_de_movimientos_app.accdb[Importe_Gasto],Tabla_Registro_de_movimientos_app.accdb[Sucursal],Sucursal!J$5,Tabla_Registro_de_movimientos_app.accdb[Detalle de movimiento],Sucursal!$A59,Tabla_Registro_de_movimientos_app.accdb[Fecha],"&gt;"&amp;Sucursal!$B$4,Tabla_Registro_de_movimientos_app.accdb[Fecha],"&lt;="&amp;Sucursal!$C$4)</f>
        <v>0</v>
      </c>
      <c r="K59" s="187" t="e">
        <f t="shared" si="143"/>
        <v>#DIV/0!</v>
      </c>
      <c r="L59" s="115">
        <f>SUMIFS(Tabla_Registro_de_movimientos_app.accdb[Importe_Gasto],Tabla_Registro_de_movimientos_app.accdb[Sucursal],Sucursal!L$5,Tabla_Registro_de_movimientos_app.accdb[Detalle de movimiento],Sucursal!$A59,Tabla_Registro_de_movimientos_app.accdb[Fecha],"&gt;"&amp;Sucursal!$B$4,Tabla_Registro_de_movimientos_app.accdb[Fecha],"&lt;="&amp;Sucursal!$C$4)</f>
        <v>0</v>
      </c>
      <c r="M59" s="187" t="e">
        <f t="shared" si="144"/>
        <v>#DIV/0!</v>
      </c>
      <c r="N59" s="115">
        <f>SUMIFS(Tabla_Registro_de_movimientos_app.accdb[Importe_Gasto],Tabla_Registro_de_movimientos_app.accdb[Sucursal],Sucursal!N$5,Tabla_Registro_de_movimientos_app.accdb[Detalle de movimiento],Sucursal!$A59,Tabla_Registro_de_movimientos_app.accdb[Fecha],"&gt;"&amp;Sucursal!$B$4,Tabla_Registro_de_movimientos_app.accdb[Fecha],"&lt;="&amp;Sucursal!$C$4)</f>
        <v>0</v>
      </c>
      <c r="O59" s="187" t="e">
        <f t="shared" si="145"/>
        <v>#DIV/0!</v>
      </c>
      <c r="P59" s="115">
        <f>SUMIFS(Tabla_Registro_de_movimientos_app.accdb[Importe_Gasto],Tabla_Registro_de_movimientos_app.accdb[Sucursal],Sucursal!P$5,Tabla_Registro_de_movimientos_app.accdb[Detalle de movimiento],Sucursal!$A59,Tabla_Registro_de_movimientos_app.accdb[Fecha],"&gt;"&amp;Sucursal!$B$4,Tabla_Registro_de_movimientos_app.accdb[Fecha],"&lt;="&amp;Sucursal!$C$4)</f>
        <v>0</v>
      </c>
      <c r="Q59" s="187" t="e">
        <f t="shared" si="146"/>
        <v>#DIV/0!</v>
      </c>
      <c r="R59" s="115">
        <f>SUMIFS(Tabla_Registro_de_movimientos_app.accdb[Importe_Gasto],Tabla_Registro_de_movimientos_app.accdb[Sucursal],Sucursal!R$5,Tabla_Registro_de_movimientos_app.accdb[Detalle de movimiento],Sucursal!$A59,Tabla_Registro_de_movimientos_app.accdb[Fecha],"&gt;"&amp;Sucursal!$B$4,Tabla_Registro_de_movimientos_app.accdb[Fecha],"&lt;="&amp;Sucursal!$C$4)</f>
        <v>0</v>
      </c>
      <c r="S59" s="187" t="e">
        <f t="shared" si="147"/>
        <v>#DIV/0!</v>
      </c>
      <c r="T59" s="115">
        <f>SUMIFS(Tabla_Registro_de_movimientos_app.accdb[Importe_Gasto],Tabla_Registro_de_movimientos_app.accdb[Sucursal],Sucursal!T$5,Tabla_Registro_de_movimientos_app.accdb[Detalle de movimiento],Sucursal!$A59,Tabla_Registro_de_movimientos_app.accdb[Fecha],"&gt;"&amp;Sucursal!$B$4,Tabla_Registro_de_movimientos_app.accdb[Fecha],"&lt;="&amp;Sucursal!$C$4)</f>
        <v>0</v>
      </c>
      <c r="U59" s="187" t="e">
        <f t="shared" si="148"/>
        <v>#DIV/0!</v>
      </c>
      <c r="V59">
        <f>SUMIFS(Tabla_Registro_de_movimientos_app.accdb[Importe_Gasto],Tabla_Registro_de_movimientos_app.accdb[Sucursal],Sucursal!V$5,Tabla_Registro_de_movimientos_app.accdb[Detalle de movimiento],Sucursal!$A59,Tabla_Registro_de_movimientos_app.accdb[Fecha],"&gt;"&amp;Sucursal!$B$4,Tabla_Registro_de_movimientos_app.accdb[Fecha],"&lt;="&amp;Sucursal!$C$4)</f>
        <v>0</v>
      </c>
      <c r="W59" s="187" t="e">
        <f t="shared" si="149"/>
        <v>#DIV/0!</v>
      </c>
      <c r="X59" s="115">
        <f>SUMIFS(Tabla_Registro_de_movimientos_app.accdb[Importe_Gasto],Tabla_Registro_de_movimientos_app.accdb[Sucursal],Sucursal!X$5,Tabla_Registro_de_movimientos_app.accdb[Detalle de movimiento],Sucursal!$A59,Tabla_Registro_de_movimientos_app.accdb[Fecha],"&gt;"&amp;Sucursal!$B$4,Tabla_Registro_de_movimientos_app.accdb[Fecha],"&lt;="&amp;Sucursal!$C$4)</f>
        <v>0</v>
      </c>
      <c r="Y59" s="187" t="e">
        <f t="shared" si="150"/>
        <v>#DIV/0!</v>
      </c>
      <c r="Z59" s="115">
        <f>SUMIFS(Tabla_Registro_de_movimientos_app.accdb[Importe_Gasto],Tabla_Registro_de_movimientos_app.accdb[Sucursal],Sucursal!Z$5,Tabla_Registro_de_movimientos_app.accdb[Detalle de movimiento],Sucursal!$A59,Tabla_Registro_de_movimientos_app.accdb[Fecha],"&gt;"&amp;Sucursal!$B$4,Tabla_Registro_de_movimientos_app.accdb[Fecha],"&lt;="&amp;Sucursal!$C$4)</f>
        <v>0</v>
      </c>
      <c r="AA59" s="187" t="e">
        <f t="shared" si="151"/>
        <v>#DIV/0!</v>
      </c>
      <c r="AB59">
        <f>SUMIFS(Tabla_Registro_de_movimientos_app.accdb[Importe_Gasto],Tabla_Registro_de_movimientos_app.accdb[Sucursal],Sucursal!AB$5,Tabla_Registro_de_movimientos_app.accdb[Detalle de movimiento],Sucursal!$A59,Tabla_Registro_de_movimientos_app.accdb[Fecha],"&gt;"&amp;Sucursal!$B$4,Tabla_Registro_de_movimientos_app.accdb[Fecha],"&lt;="&amp;Sucursal!$C$4)</f>
        <v>0</v>
      </c>
      <c r="AC59" s="187" t="e">
        <f t="shared" si="152"/>
        <v>#DIV/0!</v>
      </c>
      <c r="AD59" s="115">
        <f>SUMIFS(Tabla_Registro_de_movimientos_app.accdb[Importe_Gasto],Tabla_Registro_de_movimientos_app.accdb[Sucursal],Sucursal!AD$5,Tabla_Registro_de_movimientos_app.accdb[Detalle de movimiento],Sucursal!$A59,Tabla_Registro_de_movimientos_app.accdb[Fecha],"&gt;"&amp;Sucursal!$B$4,Tabla_Registro_de_movimientos_app.accdb[Fecha],"&lt;="&amp;Sucursal!$C$4)</f>
        <v>0</v>
      </c>
      <c r="AE59" s="187" t="e">
        <f t="shared" si="153"/>
        <v>#DIV/0!</v>
      </c>
      <c r="AF59" s="115">
        <f>SUMIFS(Tabla_Registro_de_movimientos_app.accdb[Importe_Gasto],Tabla_Registro_de_movimientos_app.accdb[Sucursal],Sucursal!AF$5,Tabla_Registro_de_movimientos_app.accdb[Detalle de movimiento],Sucursal!$A59,Tabla_Registro_de_movimientos_app.accdb[Fecha],"&gt;"&amp;Sucursal!$B$4,Tabla_Registro_de_movimientos_app.accdb[Fecha],"&lt;="&amp;Sucursal!$C$4)</f>
        <v>0</v>
      </c>
      <c r="AG59" s="187" t="e">
        <f t="shared" si="154"/>
        <v>#DIV/0!</v>
      </c>
      <c r="AH59">
        <f>SUMIFS(Tabla_Registro_de_movimientos_app.accdb[Importe_Gasto],Tabla_Registro_de_movimientos_app.accdb[Sucursal],Sucursal!AH$5,Tabla_Registro_de_movimientos_app.accdb[Detalle de movimiento],Sucursal!$A59,Tabla_Registro_de_movimientos_app.accdb[Fecha],"&gt;"&amp;Sucursal!$B$4,Tabla_Registro_de_movimientos_app.accdb[Fecha],"&lt;="&amp;Sucursal!$C$4)</f>
        <v>0</v>
      </c>
      <c r="AI59" s="187" t="e">
        <f t="shared" si="155"/>
        <v>#DIV/0!</v>
      </c>
      <c r="AJ59">
        <f>SUMIFS(Tabla_Registro_de_movimientos_app.accdb[Importe_Gasto],Tabla_Registro_de_movimientos_app.accdb[Sucursal],Sucursal!AJ$5,Tabla_Registro_de_movimientos_app.accdb[Detalle de movimiento],Sucursal!$A59,Tabla_Registro_de_movimientos_app.accdb[Fecha],"&gt;"&amp;Sucursal!$B$4,Tabla_Registro_de_movimientos_app.accdb[Fecha],"&lt;="&amp;Sucursal!$C$4)</f>
        <v>0</v>
      </c>
      <c r="AK59" s="187" t="e">
        <f t="shared" si="156"/>
        <v>#DIV/0!</v>
      </c>
      <c r="AM59" s="188">
        <f t="shared" si="157"/>
        <v>0</v>
      </c>
      <c r="AN59" s="189" t="e">
        <f t="shared" si="158"/>
        <v>#DIV/0!</v>
      </c>
    </row>
    <row r="60" spans="1:40" x14ac:dyDescent="0.25">
      <c r="A60" t="s">
        <v>66</v>
      </c>
      <c r="B60" s="115">
        <f>SUMIFS(Tabla_Registro_de_movimientos_app.accdb[Importe_Gasto],Tabla_Registro_de_movimientos_app.accdb[Sucursal],Sucursal!$B$5,Tabla_Registro_de_movimientos_app.accdb[Detalle de movimiento],Sucursal!A60,Tabla_Registro_de_movimientos_app.accdb[Fecha],"&gt;"&amp;Sucursal!$B$4,Tabla_Registro_de_movimientos_app.accdb[Fecha],"&lt;="&amp;Sucursal!$C$4)</f>
        <v>0</v>
      </c>
      <c r="C60" s="194" t="e">
        <f t="shared" si="139"/>
        <v>#DIV/0!</v>
      </c>
      <c r="D60" s="115">
        <f>SUMIFS(Tabla_Registro_de_movimientos_app.accdb[Importe_Gasto],Tabla_Registro_de_movimientos_app.accdb[Sucursal],Sucursal!D$5,Tabla_Registro_de_movimientos_app.accdb[Detalle de movimiento],Sucursal!$A60,Tabla_Registro_de_movimientos_app.accdb[Fecha],"&gt;"&amp;Sucursal!$B$4,Tabla_Registro_de_movimientos_app.accdb[Fecha],"&lt;="&amp;Sucursal!$C$4)</f>
        <v>0</v>
      </c>
      <c r="E60" s="187" t="e">
        <f t="shared" si="140"/>
        <v>#DIV/0!</v>
      </c>
      <c r="F60" s="115">
        <f>SUMIFS(Tabla_Registro_de_movimientos_app.accdb[Importe_Gasto],Tabla_Registro_de_movimientos_app.accdb[Sucursal],Sucursal!F$5,Tabla_Registro_de_movimientos_app.accdb[Detalle de movimiento],Sucursal!$A60,Tabla_Registro_de_movimientos_app.accdb[Fecha],"&gt;"&amp;Sucursal!$B$4,Tabla_Registro_de_movimientos_app.accdb[Fecha],"&lt;="&amp;Sucursal!$C$4)</f>
        <v>0</v>
      </c>
      <c r="G60" s="187" t="e">
        <f t="shared" ref="G60" si="161">F60/F$69</f>
        <v>#DIV/0!</v>
      </c>
      <c r="H60" s="115">
        <f>SUMIFS(Tabla_Registro_de_movimientos_app.accdb[Importe_Gasto],Tabla_Registro_de_movimientos_app.accdb[Sucursal],Sucursal!H$5,Tabla_Registro_de_movimientos_app.accdb[Detalle de movimiento],Sucursal!$A60,Tabla_Registro_de_movimientos_app.accdb[Fecha],"&gt;"&amp;Sucursal!$B$4,Tabla_Registro_de_movimientos_app.accdb[Fecha],"&lt;="&amp;Sucursal!$C$4)</f>
        <v>0</v>
      </c>
      <c r="I60" s="187" t="e">
        <f t="shared" si="142"/>
        <v>#DIV/0!</v>
      </c>
      <c r="J60">
        <f>SUMIFS(Tabla_Registro_de_movimientos_app.accdb[Importe_Gasto],Tabla_Registro_de_movimientos_app.accdb[Sucursal],Sucursal!J$5,Tabla_Registro_de_movimientos_app.accdb[Detalle de movimiento],Sucursal!$A60,Tabla_Registro_de_movimientos_app.accdb[Fecha],"&gt;"&amp;Sucursal!$B$4,Tabla_Registro_de_movimientos_app.accdb[Fecha],"&lt;="&amp;Sucursal!$C$4)</f>
        <v>0</v>
      </c>
      <c r="K60" s="187" t="e">
        <f t="shared" si="143"/>
        <v>#DIV/0!</v>
      </c>
      <c r="L60" s="115">
        <f>SUMIFS(Tabla_Registro_de_movimientos_app.accdb[Importe_Gasto],Tabla_Registro_de_movimientos_app.accdb[Sucursal],Sucursal!L$5,Tabla_Registro_de_movimientos_app.accdb[Detalle de movimiento],Sucursal!$A60,Tabla_Registro_de_movimientos_app.accdb[Fecha],"&gt;"&amp;Sucursal!$B$4,Tabla_Registro_de_movimientos_app.accdb[Fecha],"&lt;="&amp;Sucursal!$C$4)</f>
        <v>0</v>
      </c>
      <c r="M60" s="187" t="e">
        <f t="shared" si="144"/>
        <v>#DIV/0!</v>
      </c>
      <c r="N60" s="115">
        <f>SUMIFS(Tabla_Registro_de_movimientos_app.accdb[Importe_Gasto],Tabla_Registro_de_movimientos_app.accdb[Sucursal],Sucursal!N$5,Tabla_Registro_de_movimientos_app.accdb[Detalle de movimiento],Sucursal!$A60,Tabla_Registro_de_movimientos_app.accdb[Fecha],"&gt;"&amp;Sucursal!$B$4,Tabla_Registro_de_movimientos_app.accdb[Fecha],"&lt;="&amp;Sucursal!$C$4)</f>
        <v>0</v>
      </c>
      <c r="O60" s="187" t="e">
        <f t="shared" si="145"/>
        <v>#DIV/0!</v>
      </c>
      <c r="P60" s="115">
        <f>SUMIFS(Tabla_Registro_de_movimientos_app.accdb[Importe_Gasto],Tabla_Registro_de_movimientos_app.accdb[Sucursal],Sucursal!P$5,Tabla_Registro_de_movimientos_app.accdb[Detalle de movimiento],Sucursal!$A60,Tabla_Registro_de_movimientos_app.accdb[Fecha],"&gt;"&amp;Sucursal!$B$4,Tabla_Registro_de_movimientos_app.accdb[Fecha],"&lt;="&amp;Sucursal!$C$4)</f>
        <v>0</v>
      </c>
      <c r="Q60" s="187" t="e">
        <f t="shared" si="146"/>
        <v>#DIV/0!</v>
      </c>
      <c r="R60" s="115">
        <f>SUMIFS(Tabla_Registro_de_movimientos_app.accdb[Importe_Gasto],Tabla_Registro_de_movimientos_app.accdb[Sucursal],Sucursal!R$5,Tabla_Registro_de_movimientos_app.accdb[Detalle de movimiento],Sucursal!$A60,Tabla_Registro_de_movimientos_app.accdb[Fecha],"&gt;"&amp;Sucursal!$B$4,Tabla_Registro_de_movimientos_app.accdb[Fecha],"&lt;="&amp;Sucursal!$C$4)</f>
        <v>0</v>
      </c>
      <c r="S60" s="187" t="e">
        <f t="shared" si="147"/>
        <v>#DIV/0!</v>
      </c>
      <c r="T60" s="115">
        <f>SUMIFS(Tabla_Registro_de_movimientos_app.accdb[Importe_Gasto],Tabla_Registro_de_movimientos_app.accdb[Sucursal],Sucursal!T$5,Tabla_Registro_de_movimientos_app.accdb[Detalle de movimiento],Sucursal!$A60,Tabla_Registro_de_movimientos_app.accdb[Fecha],"&gt;"&amp;Sucursal!$B$4,Tabla_Registro_de_movimientos_app.accdb[Fecha],"&lt;="&amp;Sucursal!$C$4)</f>
        <v>0</v>
      </c>
      <c r="U60" s="187" t="e">
        <f t="shared" si="148"/>
        <v>#DIV/0!</v>
      </c>
      <c r="V60">
        <f>SUMIFS(Tabla_Registro_de_movimientos_app.accdb[Importe_Gasto],Tabla_Registro_de_movimientos_app.accdb[Sucursal],Sucursal!V$5,Tabla_Registro_de_movimientos_app.accdb[Detalle de movimiento],Sucursal!$A60,Tabla_Registro_de_movimientos_app.accdb[Fecha],"&gt;"&amp;Sucursal!$B$4,Tabla_Registro_de_movimientos_app.accdb[Fecha],"&lt;="&amp;Sucursal!$C$4)</f>
        <v>0</v>
      </c>
      <c r="W60" s="187" t="e">
        <f t="shared" si="149"/>
        <v>#DIV/0!</v>
      </c>
      <c r="X60" s="115">
        <f>SUMIFS(Tabla_Registro_de_movimientos_app.accdb[Importe_Gasto],Tabla_Registro_de_movimientos_app.accdb[Sucursal],Sucursal!X$5,Tabla_Registro_de_movimientos_app.accdb[Detalle de movimiento],Sucursal!$A60,Tabla_Registro_de_movimientos_app.accdb[Fecha],"&gt;"&amp;Sucursal!$B$4,Tabla_Registro_de_movimientos_app.accdb[Fecha],"&lt;="&amp;Sucursal!$C$4)</f>
        <v>0</v>
      </c>
      <c r="Y60" s="187" t="e">
        <f t="shared" si="150"/>
        <v>#DIV/0!</v>
      </c>
      <c r="Z60" s="115">
        <f>SUMIFS(Tabla_Registro_de_movimientos_app.accdb[Importe_Gasto],Tabla_Registro_de_movimientos_app.accdb[Sucursal],Sucursal!Z$5,Tabla_Registro_de_movimientos_app.accdb[Detalle de movimiento],Sucursal!$A60,Tabla_Registro_de_movimientos_app.accdb[Fecha],"&gt;"&amp;Sucursal!$B$4,Tabla_Registro_de_movimientos_app.accdb[Fecha],"&lt;="&amp;Sucursal!$C$4)</f>
        <v>0</v>
      </c>
      <c r="AA60" s="187" t="e">
        <f t="shared" si="151"/>
        <v>#DIV/0!</v>
      </c>
      <c r="AB60">
        <f>SUMIFS(Tabla_Registro_de_movimientos_app.accdb[Importe_Gasto],Tabla_Registro_de_movimientos_app.accdb[Sucursal],Sucursal!AB$5,Tabla_Registro_de_movimientos_app.accdb[Detalle de movimiento],Sucursal!$A60,Tabla_Registro_de_movimientos_app.accdb[Fecha],"&gt;"&amp;Sucursal!$B$4,Tabla_Registro_de_movimientos_app.accdb[Fecha],"&lt;="&amp;Sucursal!$C$4)</f>
        <v>0</v>
      </c>
      <c r="AC60" s="187" t="e">
        <f t="shared" si="152"/>
        <v>#DIV/0!</v>
      </c>
      <c r="AD60" s="115">
        <f>SUMIFS(Tabla_Registro_de_movimientos_app.accdb[Importe_Gasto],Tabla_Registro_de_movimientos_app.accdb[Sucursal],Sucursal!AD$5,Tabla_Registro_de_movimientos_app.accdb[Detalle de movimiento],Sucursal!$A60,Tabla_Registro_de_movimientos_app.accdb[Fecha],"&gt;"&amp;Sucursal!$B$4,Tabla_Registro_de_movimientos_app.accdb[Fecha],"&lt;="&amp;Sucursal!$C$4)</f>
        <v>0</v>
      </c>
      <c r="AE60" s="187" t="e">
        <f t="shared" si="153"/>
        <v>#DIV/0!</v>
      </c>
      <c r="AF60" s="115">
        <f>SUMIFS(Tabla_Registro_de_movimientos_app.accdb[Importe_Gasto],Tabla_Registro_de_movimientos_app.accdb[Sucursal],Sucursal!AF$5,Tabla_Registro_de_movimientos_app.accdb[Detalle de movimiento],Sucursal!$A60,Tabla_Registro_de_movimientos_app.accdb[Fecha],"&gt;"&amp;Sucursal!$B$4,Tabla_Registro_de_movimientos_app.accdb[Fecha],"&lt;="&amp;Sucursal!$C$4)</f>
        <v>0</v>
      </c>
      <c r="AG60" s="187" t="e">
        <f t="shared" si="154"/>
        <v>#DIV/0!</v>
      </c>
      <c r="AH60">
        <f>SUMIFS(Tabla_Registro_de_movimientos_app.accdb[Importe_Gasto],Tabla_Registro_de_movimientos_app.accdb[Sucursal],Sucursal!AH$5,Tabla_Registro_de_movimientos_app.accdb[Detalle de movimiento],Sucursal!$A60,Tabla_Registro_de_movimientos_app.accdb[Fecha],"&gt;"&amp;Sucursal!$B$4,Tabla_Registro_de_movimientos_app.accdb[Fecha],"&lt;="&amp;Sucursal!$C$4)</f>
        <v>0</v>
      </c>
      <c r="AI60" s="187" t="e">
        <f t="shared" si="155"/>
        <v>#DIV/0!</v>
      </c>
      <c r="AJ60">
        <f>SUMIFS(Tabla_Registro_de_movimientos_app.accdb[Importe_Gasto],Tabla_Registro_de_movimientos_app.accdb[Sucursal],Sucursal!AJ$5,Tabla_Registro_de_movimientos_app.accdb[Detalle de movimiento],Sucursal!$A60,Tabla_Registro_de_movimientos_app.accdb[Fecha],"&gt;"&amp;Sucursal!$B$4,Tabla_Registro_de_movimientos_app.accdb[Fecha],"&lt;="&amp;Sucursal!$C$4)</f>
        <v>0</v>
      </c>
      <c r="AK60" s="187" t="e">
        <f t="shared" si="156"/>
        <v>#DIV/0!</v>
      </c>
      <c r="AM60" s="188">
        <f t="shared" si="157"/>
        <v>0</v>
      </c>
      <c r="AN60" s="189" t="e">
        <f t="shared" si="158"/>
        <v>#DIV/0!</v>
      </c>
    </row>
    <row r="61" spans="1:40" x14ac:dyDescent="0.25">
      <c r="A61" t="s">
        <v>67</v>
      </c>
      <c r="B61" s="115">
        <f>SUMIFS(Tabla_Registro_de_movimientos_app.accdb[Importe_Gasto],Tabla_Registro_de_movimientos_app.accdb[Sucursal],Sucursal!$B$5,Tabla_Registro_de_movimientos_app.accdb[Detalle de movimiento],Sucursal!A61,Tabla_Registro_de_movimientos_app.accdb[Fecha],"&gt;"&amp;Sucursal!$B$4,Tabla_Registro_de_movimientos_app.accdb[Fecha],"&lt;="&amp;Sucursal!$C$4)</f>
        <v>0</v>
      </c>
      <c r="C61" s="194" t="e">
        <f t="shared" si="139"/>
        <v>#DIV/0!</v>
      </c>
      <c r="D61" s="115">
        <f>SUMIFS(Tabla_Registro_de_movimientos_app.accdb[Importe_Gasto],Tabla_Registro_de_movimientos_app.accdb[Sucursal],Sucursal!D$5,Tabla_Registro_de_movimientos_app.accdb[Detalle de movimiento],Sucursal!$A61,Tabla_Registro_de_movimientos_app.accdb[Fecha],"&gt;"&amp;Sucursal!$B$4,Tabla_Registro_de_movimientos_app.accdb[Fecha],"&lt;="&amp;Sucursal!$C$4)</f>
        <v>0</v>
      </c>
      <c r="E61" s="187" t="e">
        <f t="shared" si="140"/>
        <v>#DIV/0!</v>
      </c>
      <c r="F61" s="115">
        <f>SUMIFS(Tabla_Registro_de_movimientos_app.accdb[Importe_Gasto],Tabla_Registro_de_movimientos_app.accdb[Sucursal],Sucursal!F$5,Tabla_Registro_de_movimientos_app.accdb[Detalle de movimiento],Sucursal!$A61,Tabla_Registro_de_movimientos_app.accdb[Fecha],"&gt;"&amp;Sucursal!$B$4,Tabla_Registro_de_movimientos_app.accdb[Fecha],"&lt;="&amp;Sucursal!$C$4)</f>
        <v>0</v>
      </c>
      <c r="G61" s="187" t="e">
        <f t="shared" ref="G61" si="162">F61/F$69</f>
        <v>#DIV/0!</v>
      </c>
      <c r="H61" s="115">
        <f>SUMIFS(Tabla_Registro_de_movimientos_app.accdb[Importe_Gasto],Tabla_Registro_de_movimientos_app.accdb[Sucursal],Sucursal!H$5,Tabla_Registro_de_movimientos_app.accdb[Detalle de movimiento],Sucursal!$A61,Tabla_Registro_de_movimientos_app.accdb[Fecha],"&gt;"&amp;Sucursal!$B$4,Tabla_Registro_de_movimientos_app.accdb[Fecha],"&lt;="&amp;Sucursal!$C$4)</f>
        <v>0</v>
      </c>
      <c r="I61" s="187" t="e">
        <f t="shared" si="142"/>
        <v>#DIV/0!</v>
      </c>
      <c r="J61">
        <f>SUMIFS(Tabla_Registro_de_movimientos_app.accdb[Importe_Gasto],Tabla_Registro_de_movimientos_app.accdb[Sucursal],Sucursal!J$5,Tabla_Registro_de_movimientos_app.accdb[Detalle de movimiento],Sucursal!$A61,Tabla_Registro_de_movimientos_app.accdb[Fecha],"&gt;"&amp;Sucursal!$B$4,Tabla_Registro_de_movimientos_app.accdb[Fecha],"&lt;="&amp;Sucursal!$C$4)</f>
        <v>0</v>
      </c>
      <c r="K61" s="187" t="e">
        <f t="shared" si="143"/>
        <v>#DIV/0!</v>
      </c>
      <c r="L61" s="115">
        <f>SUMIFS(Tabla_Registro_de_movimientos_app.accdb[Importe_Gasto],Tabla_Registro_de_movimientos_app.accdb[Sucursal],Sucursal!L$5,Tabla_Registro_de_movimientos_app.accdb[Detalle de movimiento],Sucursal!$A61,Tabla_Registro_de_movimientos_app.accdb[Fecha],"&gt;"&amp;Sucursal!$B$4,Tabla_Registro_de_movimientos_app.accdb[Fecha],"&lt;="&amp;Sucursal!$C$4)</f>
        <v>0</v>
      </c>
      <c r="M61" s="187" t="e">
        <f t="shared" si="144"/>
        <v>#DIV/0!</v>
      </c>
      <c r="N61" s="115">
        <f>SUMIFS(Tabla_Registro_de_movimientos_app.accdb[Importe_Gasto],Tabla_Registro_de_movimientos_app.accdb[Sucursal],Sucursal!N$5,Tabla_Registro_de_movimientos_app.accdb[Detalle de movimiento],Sucursal!$A61,Tabla_Registro_de_movimientos_app.accdb[Fecha],"&gt;"&amp;Sucursal!$B$4,Tabla_Registro_de_movimientos_app.accdb[Fecha],"&lt;="&amp;Sucursal!$C$4)</f>
        <v>0</v>
      </c>
      <c r="O61" s="187" t="e">
        <f t="shared" si="145"/>
        <v>#DIV/0!</v>
      </c>
      <c r="P61" s="115">
        <f>SUMIFS(Tabla_Registro_de_movimientos_app.accdb[Importe_Gasto],Tabla_Registro_de_movimientos_app.accdb[Sucursal],Sucursal!P$5,Tabla_Registro_de_movimientos_app.accdb[Detalle de movimiento],Sucursal!$A61,Tabla_Registro_de_movimientos_app.accdb[Fecha],"&gt;"&amp;Sucursal!$B$4,Tabla_Registro_de_movimientos_app.accdb[Fecha],"&lt;="&amp;Sucursal!$C$4)</f>
        <v>0</v>
      </c>
      <c r="Q61" s="187" t="e">
        <f t="shared" si="146"/>
        <v>#DIV/0!</v>
      </c>
      <c r="R61" s="115">
        <f>SUMIFS(Tabla_Registro_de_movimientos_app.accdb[Importe_Gasto],Tabla_Registro_de_movimientos_app.accdb[Sucursal],Sucursal!R$5,Tabla_Registro_de_movimientos_app.accdb[Detalle de movimiento],Sucursal!$A61,Tabla_Registro_de_movimientos_app.accdb[Fecha],"&gt;"&amp;Sucursal!$B$4,Tabla_Registro_de_movimientos_app.accdb[Fecha],"&lt;="&amp;Sucursal!$C$4)</f>
        <v>0</v>
      </c>
      <c r="S61" s="187" t="e">
        <f t="shared" si="147"/>
        <v>#DIV/0!</v>
      </c>
      <c r="T61" s="115">
        <f>SUMIFS(Tabla_Registro_de_movimientos_app.accdb[Importe_Gasto],Tabla_Registro_de_movimientos_app.accdb[Sucursal],Sucursal!T$5,Tabla_Registro_de_movimientos_app.accdb[Detalle de movimiento],Sucursal!$A61,Tabla_Registro_de_movimientos_app.accdb[Fecha],"&gt;"&amp;Sucursal!$B$4,Tabla_Registro_de_movimientos_app.accdb[Fecha],"&lt;="&amp;Sucursal!$C$4)</f>
        <v>0</v>
      </c>
      <c r="U61" s="187" t="e">
        <f t="shared" si="148"/>
        <v>#DIV/0!</v>
      </c>
      <c r="V61">
        <f>SUMIFS(Tabla_Registro_de_movimientos_app.accdb[Importe_Gasto],Tabla_Registro_de_movimientos_app.accdb[Sucursal],Sucursal!V$5,Tabla_Registro_de_movimientos_app.accdb[Detalle de movimiento],Sucursal!$A61,Tabla_Registro_de_movimientos_app.accdb[Fecha],"&gt;"&amp;Sucursal!$B$4,Tabla_Registro_de_movimientos_app.accdb[Fecha],"&lt;="&amp;Sucursal!$C$4)</f>
        <v>0</v>
      </c>
      <c r="W61" s="187" t="e">
        <f t="shared" si="149"/>
        <v>#DIV/0!</v>
      </c>
      <c r="X61" s="115">
        <f>SUMIFS(Tabla_Registro_de_movimientos_app.accdb[Importe_Gasto],Tabla_Registro_de_movimientos_app.accdb[Sucursal],Sucursal!X$5,Tabla_Registro_de_movimientos_app.accdb[Detalle de movimiento],Sucursal!$A61,Tabla_Registro_de_movimientos_app.accdb[Fecha],"&gt;"&amp;Sucursal!$B$4,Tabla_Registro_de_movimientos_app.accdb[Fecha],"&lt;="&amp;Sucursal!$C$4)</f>
        <v>0</v>
      </c>
      <c r="Y61" s="187" t="e">
        <f t="shared" si="150"/>
        <v>#DIV/0!</v>
      </c>
      <c r="Z61" s="115">
        <f>SUMIFS(Tabla_Registro_de_movimientos_app.accdb[Importe_Gasto],Tabla_Registro_de_movimientos_app.accdb[Sucursal],Sucursal!Z$5,Tabla_Registro_de_movimientos_app.accdb[Detalle de movimiento],Sucursal!$A61,Tabla_Registro_de_movimientos_app.accdb[Fecha],"&gt;"&amp;Sucursal!$B$4,Tabla_Registro_de_movimientos_app.accdb[Fecha],"&lt;="&amp;Sucursal!$C$4)</f>
        <v>0</v>
      </c>
      <c r="AA61" s="187" t="e">
        <f t="shared" si="151"/>
        <v>#DIV/0!</v>
      </c>
      <c r="AB61">
        <f>SUMIFS(Tabla_Registro_de_movimientos_app.accdb[Importe_Gasto],Tabla_Registro_de_movimientos_app.accdb[Sucursal],Sucursal!AB$5,Tabla_Registro_de_movimientos_app.accdb[Detalle de movimiento],Sucursal!$A61,Tabla_Registro_de_movimientos_app.accdb[Fecha],"&gt;"&amp;Sucursal!$B$4,Tabla_Registro_de_movimientos_app.accdb[Fecha],"&lt;="&amp;Sucursal!$C$4)</f>
        <v>0</v>
      </c>
      <c r="AC61" s="187" t="e">
        <f t="shared" si="152"/>
        <v>#DIV/0!</v>
      </c>
      <c r="AD61" s="115">
        <f>SUMIFS(Tabla_Registro_de_movimientos_app.accdb[Importe_Gasto],Tabla_Registro_de_movimientos_app.accdb[Sucursal],Sucursal!AD$5,Tabla_Registro_de_movimientos_app.accdb[Detalle de movimiento],Sucursal!$A61,Tabla_Registro_de_movimientos_app.accdb[Fecha],"&gt;"&amp;Sucursal!$B$4,Tabla_Registro_de_movimientos_app.accdb[Fecha],"&lt;="&amp;Sucursal!$C$4)</f>
        <v>0</v>
      </c>
      <c r="AE61" s="187" t="e">
        <f t="shared" si="153"/>
        <v>#DIV/0!</v>
      </c>
      <c r="AF61" s="115">
        <f>SUMIFS(Tabla_Registro_de_movimientos_app.accdb[Importe_Gasto],Tabla_Registro_de_movimientos_app.accdb[Sucursal],Sucursal!AF$5,Tabla_Registro_de_movimientos_app.accdb[Detalle de movimiento],Sucursal!$A61,Tabla_Registro_de_movimientos_app.accdb[Fecha],"&gt;"&amp;Sucursal!$B$4,Tabla_Registro_de_movimientos_app.accdb[Fecha],"&lt;="&amp;Sucursal!$C$4)</f>
        <v>0</v>
      </c>
      <c r="AG61" s="187" t="e">
        <f t="shared" si="154"/>
        <v>#DIV/0!</v>
      </c>
      <c r="AH61">
        <f>SUMIFS(Tabla_Registro_de_movimientos_app.accdb[Importe_Gasto],Tabla_Registro_de_movimientos_app.accdb[Sucursal],Sucursal!AH$5,Tabla_Registro_de_movimientos_app.accdb[Detalle de movimiento],Sucursal!$A61,Tabla_Registro_de_movimientos_app.accdb[Fecha],"&gt;"&amp;Sucursal!$B$4,Tabla_Registro_de_movimientos_app.accdb[Fecha],"&lt;="&amp;Sucursal!$C$4)</f>
        <v>0</v>
      </c>
      <c r="AI61" s="187" t="e">
        <f t="shared" si="155"/>
        <v>#DIV/0!</v>
      </c>
      <c r="AJ61">
        <f>SUMIFS(Tabla_Registro_de_movimientos_app.accdb[Importe_Gasto],Tabla_Registro_de_movimientos_app.accdb[Sucursal],Sucursal!AJ$5,Tabla_Registro_de_movimientos_app.accdb[Detalle de movimiento],Sucursal!$A61,Tabla_Registro_de_movimientos_app.accdb[Fecha],"&gt;"&amp;Sucursal!$B$4,Tabla_Registro_de_movimientos_app.accdb[Fecha],"&lt;="&amp;Sucursal!$C$4)</f>
        <v>0</v>
      </c>
      <c r="AK61" s="187" t="e">
        <f t="shared" si="156"/>
        <v>#DIV/0!</v>
      </c>
      <c r="AM61" s="188">
        <f t="shared" si="157"/>
        <v>0</v>
      </c>
      <c r="AN61" s="189" t="e">
        <f t="shared" si="158"/>
        <v>#DIV/0!</v>
      </c>
    </row>
    <row r="62" spans="1:40" x14ac:dyDescent="0.25">
      <c r="A62" t="s">
        <v>68</v>
      </c>
      <c r="B62" s="115">
        <f>SUMIFS(Tabla_Registro_de_movimientos_app.accdb[Importe_Gasto],Tabla_Registro_de_movimientos_app.accdb[Sucursal],Sucursal!$B$5,Tabla_Registro_de_movimientos_app.accdb[Detalle de movimiento],Sucursal!A62,Tabla_Registro_de_movimientos_app.accdb[Fecha],"&gt;"&amp;Sucursal!$B$4,Tabla_Registro_de_movimientos_app.accdb[Fecha],"&lt;="&amp;Sucursal!$C$4)</f>
        <v>0</v>
      </c>
      <c r="C62" s="194" t="e">
        <f t="shared" si="139"/>
        <v>#DIV/0!</v>
      </c>
      <c r="D62" s="115">
        <f>SUMIFS(Tabla_Registro_de_movimientos_app.accdb[Importe_Gasto],Tabla_Registro_de_movimientos_app.accdb[Sucursal],Sucursal!D$5,Tabla_Registro_de_movimientos_app.accdb[Detalle de movimiento],Sucursal!$A62,Tabla_Registro_de_movimientos_app.accdb[Fecha],"&gt;"&amp;Sucursal!$B$4,Tabla_Registro_de_movimientos_app.accdb[Fecha],"&lt;="&amp;Sucursal!$C$4)</f>
        <v>0</v>
      </c>
      <c r="E62" s="187" t="e">
        <f t="shared" si="140"/>
        <v>#DIV/0!</v>
      </c>
      <c r="F62" s="115">
        <f>SUMIFS(Tabla_Registro_de_movimientos_app.accdb[Importe_Gasto],Tabla_Registro_de_movimientos_app.accdb[Sucursal],Sucursal!F$5,Tabla_Registro_de_movimientos_app.accdb[Detalle de movimiento],Sucursal!$A62,Tabla_Registro_de_movimientos_app.accdb[Fecha],"&gt;"&amp;Sucursal!$B$4,Tabla_Registro_de_movimientos_app.accdb[Fecha],"&lt;="&amp;Sucursal!$C$4)</f>
        <v>0</v>
      </c>
      <c r="G62" s="187" t="e">
        <f t="shared" ref="G62" si="163">F62/F$69</f>
        <v>#DIV/0!</v>
      </c>
      <c r="H62" s="115">
        <f>SUMIFS(Tabla_Registro_de_movimientos_app.accdb[Importe_Gasto],Tabla_Registro_de_movimientos_app.accdb[Sucursal],Sucursal!H$5,Tabla_Registro_de_movimientos_app.accdb[Detalle de movimiento],Sucursal!$A62,Tabla_Registro_de_movimientos_app.accdb[Fecha],"&gt;"&amp;Sucursal!$B$4,Tabla_Registro_de_movimientos_app.accdb[Fecha],"&lt;="&amp;Sucursal!$C$4)</f>
        <v>0</v>
      </c>
      <c r="I62" s="187" t="e">
        <f t="shared" si="142"/>
        <v>#DIV/0!</v>
      </c>
      <c r="J62">
        <f>SUMIFS(Tabla_Registro_de_movimientos_app.accdb[Importe_Gasto],Tabla_Registro_de_movimientos_app.accdb[Sucursal],Sucursal!J$5,Tabla_Registro_de_movimientos_app.accdb[Detalle de movimiento],Sucursal!$A62,Tabla_Registro_de_movimientos_app.accdb[Fecha],"&gt;"&amp;Sucursal!$B$4,Tabla_Registro_de_movimientos_app.accdb[Fecha],"&lt;="&amp;Sucursal!$C$4)</f>
        <v>0</v>
      </c>
      <c r="K62" s="187" t="e">
        <f t="shared" si="143"/>
        <v>#DIV/0!</v>
      </c>
      <c r="L62" s="115">
        <f>SUMIFS(Tabla_Registro_de_movimientos_app.accdb[Importe_Gasto],Tabla_Registro_de_movimientos_app.accdb[Sucursal],Sucursal!L$5,Tabla_Registro_de_movimientos_app.accdb[Detalle de movimiento],Sucursal!$A62,Tabla_Registro_de_movimientos_app.accdb[Fecha],"&gt;"&amp;Sucursal!$B$4,Tabla_Registro_de_movimientos_app.accdb[Fecha],"&lt;="&amp;Sucursal!$C$4)</f>
        <v>0</v>
      </c>
      <c r="M62" s="187" t="e">
        <f t="shared" si="144"/>
        <v>#DIV/0!</v>
      </c>
      <c r="N62" s="115">
        <f>SUMIFS(Tabla_Registro_de_movimientos_app.accdb[Importe_Gasto],Tabla_Registro_de_movimientos_app.accdb[Sucursal],Sucursal!N$5,Tabla_Registro_de_movimientos_app.accdb[Detalle de movimiento],Sucursal!$A62,Tabla_Registro_de_movimientos_app.accdb[Fecha],"&gt;"&amp;Sucursal!$B$4,Tabla_Registro_de_movimientos_app.accdb[Fecha],"&lt;="&amp;Sucursal!$C$4)</f>
        <v>0</v>
      </c>
      <c r="O62" s="187" t="e">
        <f t="shared" si="145"/>
        <v>#DIV/0!</v>
      </c>
      <c r="P62" s="115">
        <f>SUMIFS(Tabla_Registro_de_movimientos_app.accdb[Importe_Gasto],Tabla_Registro_de_movimientos_app.accdb[Sucursal],Sucursal!P$5,Tabla_Registro_de_movimientos_app.accdb[Detalle de movimiento],Sucursal!$A62,Tabla_Registro_de_movimientos_app.accdb[Fecha],"&gt;"&amp;Sucursal!$B$4,Tabla_Registro_de_movimientos_app.accdb[Fecha],"&lt;="&amp;Sucursal!$C$4)</f>
        <v>0</v>
      </c>
      <c r="Q62" s="187" t="e">
        <f t="shared" si="146"/>
        <v>#DIV/0!</v>
      </c>
      <c r="R62" s="115">
        <f>SUMIFS(Tabla_Registro_de_movimientos_app.accdb[Importe_Gasto],Tabla_Registro_de_movimientos_app.accdb[Sucursal],Sucursal!R$5,Tabla_Registro_de_movimientos_app.accdb[Detalle de movimiento],Sucursal!$A62,Tabla_Registro_de_movimientos_app.accdb[Fecha],"&gt;"&amp;Sucursal!$B$4,Tabla_Registro_de_movimientos_app.accdb[Fecha],"&lt;="&amp;Sucursal!$C$4)</f>
        <v>0</v>
      </c>
      <c r="S62" s="187" t="e">
        <f t="shared" si="147"/>
        <v>#DIV/0!</v>
      </c>
      <c r="T62" s="115">
        <f>SUMIFS(Tabla_Registro_de_movimientos_app.accdb[Importe_Gasto],Tabla_Registro_de_movimientos_app.accdb[Sucursal],Sucursal!T$5,Tabla_Registro_de_movimientos_app.accdb[Detalle de movimiento],Sucursal!$A62,Tabla_Registro_de_movimientos_app.accdb[Fecha],"&gt;"&amp;Sucursal!$B$4,Tabla_Registro_de_movimientos_app.accdb[Fecha],"&lt;="&amp;Sucursal!$C$4)</f>
        <v>0</v>
      </c>
      <c r="U62" s="187" t="e">
        <f t="shared" si="148"/>
        <v>#DIV/0!</v>
      </c>
      <c r="V62">
        <f>SUMIFS(Tabla_Registro_de_movimientos_app.accdb[Importe_Gasto],Tabla_Registro_de_movimientos_app.accdb[Sucursal],Sucursal!V$5,Tabla_Registro_de_movimientos_app.accdb[Detalle de movimiento],Sucursal!$A62,Tabla_Registro_de_movimientos_app.accdb[Fecha],"&gt;"&amp;Sucursal!$B$4,Tabla_Registro_de_movimientos_app.accdb[Fecha],"&lt;="&amp;Sucursal!$C$4)</f>
        <v>0</v>
      </c>
      <c r="W62" s="187" t="e">
        <f t="shared" si="149"/>
        <v>#DIV/0!</v>
      </c>
      <c r="X62" s="115">
        <f>SUMIFS(Tabla_Registro_de_movimientos_app.accdb[Importe_Gasto],Tabla_Registro_de_movimientos_app.accdb[Sucursal],Sucursal!X$5,Tabla_Registro_de_movimientos_app.accdb[Detalle de movimiento],Sucursal!$A62,Tabla_Registro_de_movimientos_app.accdb[Fecha],"&gt;"&amp;Sucursal!$B$4,Tabla_Registro_de_movimientos_app.accdb[Fecha],"&lt;="&amp;Sucursal!$C$4)</f>
        <v>0</v>
      </c>
      <c r="Y62" s="187" t="e">
        <f t="shared" si="150"/>
        <v>#DIV/0!</v>
      </c>
      <c r="Z62" s="115">
        <f>SUMIFS(Tabla_Registro_de_movimientos_app.accdb[Importe_Gasto],Tabla_Registro_de_movimientos_app.accdb[Sucursal],Sucursal!Z$5,Tabla_Registro_de_movimientos_app.accdb[Detalle de movimiento],Sucursal!$A62,Tabla_Registro_de_movimientos_app.accdb[Fecha],"&gt;"&amp;Sucursal!$B$4,Tabla_Registro_de_movimientos_app.accdb[Fecha],"&lt;="&amp;Sucursal!$C$4)</f>
        <v>0</v>
      </c>
      <c r="AA62" s="187" t="e">
        <f t="shared" si="151"/>
        <v>#DIV/0!</v>
      </c>
      <c r="AB62">
        <f>SUMIFS(Tabla_Registro_de_movimientos_app.accdb[Importe_Gasto],Tabla_Registro_de_movimientos_app.accdb[Sucursal],Sucursal!AB$5,Tabla_Registro_de_movimientos_app.accdb[Detalle de movimiento],Sucursal!$A62,Tabla_Registro_de_movimientos_app.accdb[Fecha],"&gt;"&amp;Sucursal!$B$4,Tabla_Registro_de_movimientos_app.accdb[Fecha],"&lt;="&amp;Sucursal!$C$4)</f>
        <v>0</v>
      </c>
      <c r="AC62" s="187" t="e">
        <f t="shared" si="152"/>
        <v>#DIV/0!</v>
      </c>
      <c r="AD62" s="115">
        <f>SUMIFS(Tabla_Registro_de_movimientos_app.accdb[Importe_Gasto],Tabla_Registro_de_movimientos_app.accdb[Sucursal],Sucursal!AD$5,Tabla_Registro_de_movimientos_app.accdb[Detalle de movimiento],Sucursal!$A62,Tabla_Registro_de_movimientos_app.accdb[Fecha],"&gt;"&amp;Sucursal!$B$4,Tabla_Registro_de_movimientos_app.accdb[Fecha],"&lt;="&amp;Sucursal!$C$4)</f>
        <v>0</v>
      </c>
      <c r="AE62" s="187" t="e">
        <f t="shared" si="153"/>
        <v>#DIV/0!</v>
      </c>
      <c r="AF62" s="115">
        <f>SUMIFS(Tabla_Registro_de_movimientos_app.accdb[Importe_Gasto],Tabla_Registro_de_movimientos_app.accdb[Sucursal],Sucursal!AF$5,Tabla_Registro_de_movimientos_app.accdb[Detalle de movimiento],Sucursal!$A62,Tabla_Registro_de_movimientos_app.accdb[Fecha],"&gt;"&amp;Sucursal!$B$4,Tabla_Registro_de_movimientos_app.accdb[Fecha],"&lt;="&amp;Sucursal!$C$4)</f>
        <v>0</v>
      </c>
      <c r="AG62" s="187" t="e">
        <f t="shared" si="154"/>
        <v>#DIV/0!</v>
      </c>
      <c r="AH62">
        <f>SUMIFS(Tabla_Registro_de_movimientos_app.accdb[Importe_Gasto],Tabla_Registro_de_movimientos_app.accdb[Sucursal],Sucursal!AH$5,Tabla_Registro_de_movimientos_app.accdb[Detalle de movimiento],Sucursal!$A62,Tabla_Registro_de_movimientos_app.accdb[Fecha],"&gt;"&amp;Sucursal!$B$4,Tabla_Registro_de_movimientos_app.accdb[Fecha],"&lt;="&amp;Sucursal!$C$4)</f>
        <v>0</v>
      </c>
      <c r="AI62" s="187" t="e">
        <f t="shared" si="155"/>
        <v>#DIV/0!</v>
      </c>
      <c r="AJ62">
        <f>SUMIFS(Tabla_Registro_de_movimientos_app.accdb[Importe_Gasto],Tabla_Registro_de_movimientos_app.accdb[Sucursal],Sucursal!AJ$5,Tabla_Registro_de_movimientos_app.accdb[Detalle de movimiento],Sucursal!$A62,Tabla_Registro_de_movimientos_app.accdb[Fecha],"&gt;"&amp;Sucursal!$B$4,Tabla_Registro_de_movimientos_app.accdb[Fecha],"&lt;="&amp;Sucursal!$C$4)</f>
        <v>0</v>
      </c>
      <c r="AK62" s="187" t="e">
        <f t="shared" si="156"/>
        <v>#DIV/0!</v>
      </c>
      <c r="AM62" s="188">
        <f t="shared" si="157"/>
        <v>0</v>
      </c>
      <c r="AN62" s="189" t="e">
        <f t="shared" si="158"/>
        <v>#DIV/0!</v>
      </c>
    </row>
    <row r="63" spans="1:40" x14ac:dyDescent="0.25">
      <c r="A63" t="s">
        <v>69</v>
      </c>
      <c r="B63" s="115">
        <f>SUMIFS(Tabla_Registro_de_movimientos_app.accdb[Importe_Gasto],Tabla_Registro_de_movimientos_app.accdb[Sucursal],Sucursal!$B$5,Tabla_Registro_de_movimientos_app.accdb[Detalle de movimiento],Sucursal!A63,Tabla_Registro_de_movimientos_app.accdb[Fecha],"&gt;"&amp;Sucursal!$B$4,Tabla_Registro_de_movimientos_app.accdb[Fecha],"&lt;="&amp;Sucursal!$C$4)</f>
        <v>0</v>
      </c>
      <c r="C63" s="194" t="e">
        <f t="shared" si="139"/>
        <v>#DIV/0!</v>
      </c>
      <c r="D63" s="115">
        <f>SUMIFS(Tabla_Registro_de_movimientos_app.accdb[Importe_Gasto],Tabla_Registro_de_movimientos_app.accdb[Sucursal],Sucursal!D$5,Tabla_Registro_de_movimientos_app.accdb[Detalle de movimiento],Sucursal!$A63,Tabla_Registro_de_movimientos_app.accdb[Fecha],"&gt;"&amp;Sucursal!$B$4,Tabla_Registro_de_movimientos_app.accdb[Fecha],"&lt;="&amp;Sucursal!$C$4)</f>
        <v>0</v>
      </c>
      <c r="E63" s="187" t="e">
        <f t="shared" si="140"/>
        <v>#DIV/0!</v>
      </c>
      <c r="F63" s="115">
        <f>SUMIFS(Tabla_Registro_de_movimientos_app.accdb[Importe_Gasto],Tabla_Registro_de_movimientos_app.accdb[Sucursal],Sucursal!F$5,Tabla_Registro_de_movimientos_app.accdb[Detalle de movimiento],Sucursal!$A63,Tabla_Registro_de_movimientos_app.accdb[Fecha],"&gt;"&amp;Sucursal!$B$4,Tabla_Registro_de_movimientos_app.accdb[Fecha],"&lt;="&amp;Sucursal!$C$4)</f>
        <v>0</v>
      </c>
      <c r="G63" s="187" t="e">
        <f t="shared" ref="G63" si="164">F63/F$69</f>
        <v>#DIV/0!</v>
      </c>
      <c r="H63" s="115">
        <f>SUMIFS(Tabla_Registro_de_movimientos_app.accdb[Importe_Gasto],Tabla_Registro_de_movimientos_app.accdb[Sucursal],Sucursal!H$5,Tabla_Registro_de_movimientos_app.accdb[Detalle de movimiento],Sucursal!$A63,Tabla_Registro_de_movimientos_app.accdb[Fecha],"&gt;"&amp;Sucursal!$B$4,Tabla_Registro_de_movimientos_app.accdb[Fecha],"&lt;="&amp;Sucursal!$C$4)</f>
        <v>0</v>
      </c>
      <c r="I63" s="187" t="e">
        <f t="shared" si="142"/>
        <v>#DIV/0!</v>
      </c>
      <c r="J63">
        <f>SUMIFS(Tabla_Registro_de_movimientos_app.accdb[Importe_Gasto],Tabla_Registro_de_movimientos_app.accdb[Sucursal],Sucursal!J$5,Tabla_Registro_de_movimientos_app.accdb[Detalle de movimiento],Sucursal!$A63,Tabla_Registro_de_movimientos_app.accdb[Fecha],"&gt;"&amp;Sucursal!$B$4,Tabla_Registro_de_movimientos_app.accdb[Fecha],"&lt;="&amp;Sucursal!$C$4)</f>
        <v>0</v>
      </c>
      <c r="K63" s="187" t="e">
        <f t="shared" si="143"/>
        <v>#DIV/0!</v>
      </c>
      <c r="L63" s="115">
        <f>SUMIFS(Tabla_Registro_de_movimientos_app.accdb[Importe_Gasto],Tabla_Registro_de_movimientos_app.accdb[Sucursal],Sucursal!L$5,Tabla_Registro_de_movimientos_app.accdb[Detalle de movimiento],Sucursal!$A63,Tabla_Registro_de_movimientos_app.accdb[Fecha],"&gt;"&amp;Sucursal!$B$4,Tabla_Registro_de_movimientos_app.accdb[Fecha],"&lt;="&amp;Sucursal!$C$4)</f>
        <v>0</v>
      </c>
      <c r="M63" s="187" t="e">
        <f t="shared" si="144"/>
        <v>#DIV/0!</v>
      </c>
      <c r="N63" s="115">
        <f>SUMIFS(Tabla_Registro_de_movimientos_app.accdb[Importe_Gasto],Tabla_Registro_de_movimientos_app.accdb[Sucursal],Sucursal!N$5,Tabla_Registro_de_movimientos_app.accdb[Detalle de movimiento],Sucursal!$A63,Tabla_Registro_de_movimientos_app.accdb[Fecha],"&gt;"&amp;Sucursal!$B$4,Tabla_Registro_de_movimientos_app.accdb[Fecha],"&lt;="&amp;Sucursal!$C$4)</f>
        <v>0</v>
      </c>
      <c r="O63" s="187" t="e">
        <f t="shared" si="145"/>
        <v>#DIV/0!</v>
      </c>
      <c r="P63" s="115">
        <f>SUMIFS(Tabla_Registro_de_movimientos_app.accdb[Importe_Gasto],Tabla_Registro_de_movimientos_app.accdb[Sucursal],Sucursal!P$5,Tabla_Registro_de_movimientos_app.accdb[Detalle de movimiento],Sucursal!$A63,Tabla_Registro_de_movimientos_app.accdb[Fecha],"&gt;"&amp;Sucursal!$B$4,Tabla_Registro_de_movimientos_app.accdb[Fecha],"&lt;="&amp;Sucursal!$C$4)</f>
        <v>0</v>
      </c>
      <c r="Q63" s="187" t="e">
        <f t="shared" si="146"/>
        <v>#DIV/0!</v>
      </c>
      <c r="R63" s="115">
        <f>SUMIFS(Tabla_Registro_de_movimientos_app.accdb[Importe_Gasto],Tabla_Registro_de_movimientos_app.accdb[Sucursal],Sucursal!R$5,Tabla_Registro_de_movimientos_app.accdb[Detalle de movimiento],Sucursal!$A63,Tabla_Registro_de_movimientos_app.accdb[Fecha],"&gt;"&amp;Sucursal!$B$4,Tabla_Registro_de_movimientos_app.accdb[Fecha],"&lt;="&amp;Sucursal!$C$4)</f>
        <v>0</v>
      </c>
      <c r="S63" s="187" t="e">
        <f t="shared" si="147"/>
        <v>#DIV/0!</v>
      </c>
      <c r="T63" s="115">
        <f>SUMIFS(Tabla_Registro_de_movimientos_app.accdb[Importe_Gasto],Tabla_Registro_de_movimientos_app.accdb[Sucursal],Sucursal!T$5,Tabla_Registro_de_movimientos_app.accdb[Detalle de movimiento],Sucursal!$A63,Tabla_Registro_de_movimientos_app.accdb[Fecha],"&gt;"&amp;Sucursal!$B$4,Tabla_Registro_de_movimientos_app.accdb[Fecha],"&lt;="&amp;Sucursal!$C$4)</f>
        <v>0</v>
      </c>
      <c r="U63" s="187" t="e">
        <f t="shared" si="148"/>
        <v>#DIV/0!</v>
      </c>
      <c r="V63">
        <f>SUMIFS(Tabla_Registro_de_movimientos_app.accdb[Importe_Gasto],Tabla_Registro_de_movimientos_app.accdb[Sucursal],Sucursal!V$5,Tabla_Registro_de_movimientos_app.accdb[Detalle de movimiento],Sucursal!$A63,Tabla_Registro_de_movimientos_app.accdb[Fecha],"&gt;"&amp;Sucursal!$B$4,Tabla_Registro_de_movimientos_app.accdb[Fecha],"&lt;="&amp;Sucursal!$C$4)</f>
        <v>0</v>
      </c>
      <c r="W63" s="187" t="e">
        <f t="shared" si="149"/>
        <v>#DIV/0!</v>
      </c>
      <c r="X63" s="115">
        <f>SUMIFS(Tabla_Registro_de_movimientos_app.accdb[Importe_Gasto],Tabla_Registro_de_movimientos_app.accdb[Sucursal],Sucursal!X$5,Tabla_Registro_de_movimientos_app.accdb[Detalle de movimiento],Sucursal!$A63,Tabla_Registro_de_movimientos_app.accdb[Fecha],"&gt;"&amp;Sucursal!$B$4,Tabla_Registro_de_movimientos_app.accdb[Fecha],"&lt;="&amp;Sucursal!$C$4)</f>
        <v>0</v>
      </c>
      <c r="Y63" s="187" t="e">
        <f t="shared" si="150"/>
        <v>#DIV/0!</v>
      </c>
      <c r="Z63" s="115">
        <f>SUMIFS(Tabla_Registro_de_movimientos_app.accdb[Importe_Gasto],Tabla_Registro_de_movimientos_app.accdb[Sucursal],Sucursal!Z$5,Tabla_Registro_de_movimientos_app.accdb[Detalle de movimiento],Sucursal!$A63,Tabla_Registro_de_movimientos_app.accdb[Fecha],"&gt;"&amp;Sucursal!$B$4,Tabla_Registro_de_movimientos_app.accdb[Fecha],"&lt;="&amp;Sucursal!$C$4)</f>
        <v>0</v>
      </c>
      <c r="AA63" s="187" t="e">
        <f t="shared" si="151"/>
        <v>#DIV/0!</v>
      </c>
      <c r="AB63">
        <f>SUMIFS(Tabla_Registro_de_movimientos_app.accdb[Importe_Gasto],Tabla_Registro_de_movimientos_app.accdb[Sucursal],Sucursal!AB$5,Tabla_Registro_de_movimientos_app.accdb[Detalle de movimiento],Sucursal!$A63,Tabla_Registro_de_movimientos_app.accdb[Fecha],"&gt;"&amp;Sucursal!$B$4,Tabla_Registro_de_movimientos_app.accdb[Fecha],"&lt;="&amp;Sucursal!$C$4)</f>
        <v>0</v>
      </c>
      <c r="AC63" s="187" t="e">
        <f t="shared" si="152"/>
        <v>#DIV/0!</v>
      </c>
      <c r="AD63" s="115">
        <f>SUMIFS(Tabla_Registro_de_movimientos_app.accdb[Importe_Gasto],Tabla_Registro_de_movimientos_app.accdb[Sucursal],Sucursal!AD$5,Tabla_Registro_de_movimientos_app.accdb[Detalle de movimiento],Sucursal!$A63,Tabla_Registro_de_movimientos_app.accdb[Fecha],"&gt;"&amp;Sucursal!$B$4,Tabla_Registro_de_movimientos_app.accdb[Fecha],"&lt;="&amp;Sucursal!$C$4)</f>
        <v>0</v>
      </c>
      <c r="AE63" s="187" t="e">
        <f t="shared" si="153"/>
        <v>#DIV/0!</v>
      </c>
      <c r="AF63" s="115">
        <f>SUMIFS(Tabla_Registro_de_movimientos_app.accdb[Importe_Gasto],Tabla_Registro_de_movimientos_app.accdb[Sucursal],Sucursal!AF$5,Tabla_Registro_de_movimientos_app.accdb[Detalle de movimiento],Sucursal!$A63,Tabla_Registro_de_movimientos_app.accdb[Fecha],"&gt;"&amp;Sucursal!$B$4,Tabla_Registro_de_movimientos_app.accdb[Fecha],"&lt;="&amp;Sucursal!$C$4)</f>
        <v>0</v>
      </c>
      <c r="AG63" s="187" t="e">
        <f t="shared" si="154"/>
        <v>#DIV/0!</v>
      </c>
      <c r="AH63">
        <f>SUMIFS(Tabla_Registro_de_movimientos_app.accdb[Importe_Gasto],Tabla_Registro_de_movimientos_app.accdb[Sucursal],Sucursal!AH$5,Tabla_Registro_de_movimientos_app.accdb[Detalle de movimiento],Sucursal!$A63,Tabla_Registro_de_movimientos_app.accdb[Fecha],"&gt;"&amp;Sucursal!$B$4,Tabla_Registro_de_movimientos_app.accdb[Fecha],"&lt;="&amp;Sucursal!$C$4)</f>
        <v>0</v>
      </c>
      <c r="AI63" s="187" t="e">
        <f t="shared" si="155"/>
        <v>#DIV/0!</v>
      </c>
      <c r="AJ63">
        <f>SUMIFS(Tabla_Registro_de_movimientos_app.accdb[Importe_Gasto],Tabla_Registro_de_movimientos_app.accdb[Sucursal],Sucursal!AJ$5,Tabla_Registro_de_movimientos_app.accdb[Detalle de movimiento],Sucursal!$A63,Tabla_Registro_de_movimientos_app.accdb[Fecha],"&gt;"&amp;Sucursal!$B$4,Tabla_Registro_de_movimientos_app.accdb[Fecha],"&lt;="&amp;Sucursal!$C$4)</f>
        <v>0</v>
      </c>
      <c r="AK63" s="187" t="e">
        <f t="shared" si="156"/>
        <v>#DIV/0!</v>
      </c>
      <c r="AM63" s="188">
        <f t="shared" si="157"/>
        <v>0</v>
      </c>
      <c r="AN63" s="189" t="e">
        <f t="shared" si="158"/>
        <v>#DIV/0!</v>
      </c>
    </row>
    <row r="64" spans="1:40" x14ac:dyDescent="0.25">
      <c r="A64" t="s">
        <v>70</v>
      </c>
      <c r="B64" s="115">
        <f>SUMIFS(Tabla_Registro_de_movimientos_app.accdb[Importe_Gasto],Tabla_Registro_de_movimientos_app.accdb[Sucursal],Sucursal!$B$5,Tabla_Registro_de_movimientos_app.accdb[Detalle de movimiento],Sucursal!A64,Tabla_Registro_de_movimientos_app.accdb[Fecha],"&gt;"&amp;Sucursal!$B$4,Tabla_Registro_de_movimientos_app.accdb[Fecha],"&lt;="&amp;Sucursal!$C$4)</f>
        <v>0</v>
      </c>
      <c r="C64" s="194" t="e">
        <f t="shared" si="139"/>
        <v>#DIV/0!</v>
      </c>
      <c r="D64" s="115">
        <f>SUMIFS(Tabla_Registro_de_movimientos_app.accdb[Importe_Gasto],Tabla_Registro_de_movimientos_app.accdb[Sucursal],Sucursal!D$5,Tabla_Registro_de_movimientos_app.accdb[Detalle de movimiento],Sucursal!$A64,Tabla_Registro_de_movimientos_app.accdb[Fecha],"&gt;"&amp;Sucursal!$B$4,Tabla_Registro_de_movimientos_app.accdb[Fecha],"&lt;="&amp;Sucursal!$C$4)</f>
        <v>0</v>
      </c>
      <c r="E64" s="187" t="e">
        <f t="shared" si="140"/>
        <v>#DIV/0!</v>
      </c>
      <c r="F64" s="115">
        <f>SUMIFS(Tabla_Registro_de_movimientos_app.accdb[Importe_Gasto],Tabla_Registro_de_movimientos_app.accdb[Sucursal],Sucursal!F$5,Tabla_Registro_de_movimientos_app.accdb[Detalle de movimiento],Sucursal!$A64,Tabla_Registro_de_movimientos_app.accdb[Fecha],"&gt;"&amp;Sucursal!$B$4,Tabla_Registro_de_movimientos_app.accdb[Fecha],"&lt;="&amp;Sucursal!$C$4)</f>
        <v>0</v>
      </c>
      <c r="G64" s="187" t="e">
        <f t="shared" ref="G64" si="165">F64/F$69</f>
        <v>#DIV/0!</v>
      </c>
      <c r="H64" s="115">
        <f>SUMIFS(Tabla_Registro_de_movimientos_app.accdb[Importe_Gasto],Tabla_Registro_de_movimientos_app.accdb[Sucursal],Sucursal!H$5,Tabla_Registro_de_movimientos_app.accdb[Detalle de movimiento],Sucursal!$A64,Tabla_Registro_de_movimientos_app.accdb[Fecha],"&gt;"&amp;Sucursal!$B$4,Tabla_Registro_de_movimientos_app.accdb[Fecha],"&lt;="&amp;Sucursal!$C$4)</f>
        <v>0</v>
      </c>
      <c r="I64" s="187" t="e">
        <f t="shared" si="142"/>
        <v>#DIV/0!</v>
      </c>
      <c r="J64">
        <f>SUMIFS(Tabla_Registro_de_movimientos_app.accdb[Importe_Gasto],Tabla_Registro_de_movimientos_app.accdb[Sucursal],Sucursal!J$5,Tabla_Registro_de_movimientos_app.accdb[Detalle de movimiento],Sucursal!$A64,Tabla_Registro_de_movimientos_app.accdb[Fecha],"&gt;"&amp;Sucursal!$B$4,Tabla_Registro_de_movimientos_app.accdb[Fecha],"&lt;="&amp;Sucursal!$C$4)</f>
        <v>0</v>
      </c>
      <c r="K64" s="187" t="e">
        <f t="shared" si="143"/>
        <v>#DIV/0!</v>
      </c>
      <c r="L64" s="115">
        <f>SUMIFS(Tabla_Registro_de_movimientos_app.accdb[Importe_Gasto],Tabla_Registro_de_movimientos_app.accdb[Sucursal],Sucursal!L$5,Tabla_Registro_de_movimientos_app.accdb[Detalle de movimiento],Sucursal!$A64,Tabla_Registro_de_movimientos_app.accdb[Fecha],"&gt;"&amp;Sucursal!$B$4,Tabla_Registro_de_movimientos_app.accdb[Fecha],"&lt;="&amp;Sucursal!$C$4)</f>
        <v>0</v>
      </c>
      <c r="M64" s="187" t="e">
        <f t="shared" si="144"/>
        <v>#DIV/0!</v>
      </c>
      <c r="N64" s="115">
        <f>SUMIFS(Tabla_Registro_de_movimientos_app.accdb[Importe_Gasto],Tabla_Registro_de_movimientos_app.accdb[Sucursal],Sucursal!N$5,Tabla_Registro_de_movimientos_app.accdb[Detalle de movimiento],Sucursal!$A64,Tabla_Registro_de_movimientos_app.accdb[Fecha],"&gt;"&amp;Sucursal!$B$4,Tabla_Registro_de_movimientos_app.accdb[Fecha],"&lt;="&amp;Sucursal!$C$4)</f>
        <v>0</v>
      </c>
      <c r="O64" s="187" t="e">
        <f t="shared" si="145"/>
        <v>#DIV/0!</v>
      </c>
      <c r="P64" s="115">
        <f>SUMIFS(Tabla_Registro_de_movimientos_app.accdb[Importe_Gasto],Tabla_Registro_de_movimientos_app.accdb[Sucursal],Sucursal!P$5,Tabla_Registro_de_movimientos_app.accdb[Detalle de movimiento],Sucursal!$A64,Tabla_Registro_de_movimientos_app.accdb[Fecha],"&gt;"&amp;Sucursal!$B$4,Tabla_Registro_de_movimientos_app.accdb[Fecha],"&lt;="&amp;Sucursal!$C$4)</f>
        <v>0</v>
      </c>
      <c r="Q64" s="187" t="e">
        <f t="shared" si="146"/>
        <v>#DIV/0!</v>
      </c>
      <c r="R64" s="115">
        <f>SUMIFS(Tabla_Registro_de_movimientos_app.accdb[Importe_Gasto],Tabla_Registro_de_movimientos_app.accdb[Sucursal],Sucursal!R$5,Tabla_Registro_de_movimientos_app.accdb[Detalle de movimiento],Sucursal!$A64,Tabla_Registro_de_movimientos_app.accdb[Fecha],"&gt;"&amp;Sucursal!$B$4,Tabla_Registro_de_movimientos_app.accdb[Fecha],"&lt;="&amp;Sucursal!$C$4)</f>
        <v>0</v>
      </c>
      <c r="S64" s="187" t="e">
        <f t="shared" si="147"/>
        <v>#DIV/0!</v>
      </c>
      <c r="T64" s="115">
        <f>SUMIFS(Tabla_Registro_de_movimientos_app.accdb[Importe_Gasto],Tabla_Registro_de_movimientos_app.accdb[Sucursal],Sucursal!T$5,Tabla_Registro_de_movimientos_app.accdb[Detalle de movimiento],Sucursal!$A64,Tabla_Registro_de_movimientos_app.accdb[Fecha],"&gt;"&amp;Sucursal!$B$4,Tabla_Registro_de_movimientos_app.accdb[Fecha],"&lt;="&amp;Sucursal!$C$4)</f>
        <v>0</v>
      </c>
      <c r="U64" s="187" t="e">
        <f t="shared" si="148"/>
        <v>#DIV/0!</v>
      </c>
      <c r="V64">
        <f>SUMIFS(Tabla_Registro_de_movimientos_app.accdb[Importe_Gasto],Tabla_Registro_de_movimientos_app.accdb[Sucursal],Sucursal!V$5,Tabla_Registro_de_movimientos_app.accdb[Detalle de movimiento],Sucursal!$A64,Tabla_Registro_de_movimientos_app.accdb[Fecha],"&gt;"&amp;Sucursal!$B$4,Tabla_Registro_de_movimientos_app.accdb[Fecha],"&lt;="&amp;Sucursal!$C$4)</f>
        <v>0</v>
      </c>
      <c r="W64" s="187" t="e">
        <f t="shared" si="149"/>
        <v>#DIV/0!</v>
      </c>
      <c r="X64" s="115">
        <f>SUMIFS(Tabla_Registro_de_movimientos_app.accdb[Importe_Gasto],Tabla_Registro_de_movimientos_app.accdb[Sucursal],Sucursal!X$5,Tabla_Registro_de_movimientos_app.accdb[Detalle de movimiento],Sucursal!$A64,Tabla_Registro_de_movimientos_app.accdb[Fecha],"&gt;"&amp;Sucursal!$B$4,Tabla_Registro_de_movimientos_app.accdb[Fecha],"&lt;="&amp;Sucursal!$C$4)</f>
        <v>0</v>
      </c>
      <c r="Y64" s="187" t="e">
        <f t="shared" si="150"/>
        <v>#DIV/0!</v>
      </c>
      <c r="Z64" s="115">
        <f>SUMIFS(Tabla_Registro_de_movimientos_app.accdb[Importe_Gasto],Tabla_Registro_de_movimientos_app.accdb[Sucursal],Sucursal!Z$5,Tabla_Registro_de_movimientos_app.accdb[Detalle de movimiento],Sucursal!$A64,Tabla_Registro_de_movimientos_app.accdb[Fecha],"&gt;"&amp;Sucursal!$B$4,Tabla_Registro_de_movimientos_app.accdb[Fecha],"&lt;="&amp;Sucursal!$C$4)</f>
        <v>0</v>
      </c>
      <c r="AA64" s="187" t="e">
        <f t="shared" si="151"/>
        <v>#DIV/0!</v>
      </c>
      <c r="AB64">
        <f>SUMIFS(Tabla_Registro_de_movimientos_app.accdb[Importe_Gasto],Tabla_Registro_de_movimientos_app.accdb[Sucursal],Sucursal!AB$5,Tabla_Registro_de_movimientos_app.accdb[Detalle de movimiento],Sucursal!$A64,Tabla_Registro_de_movimientos_app.accdb[Fecha],"&gt;"&amp;Sucursal!$B$4,Tabla_Registro_de_movimientos_app.accdb[Fecha],"&lt;="&amp;Sucursal!$C$4)</f>
        <v>0</v>
      </c>
      <c r="AC64" s="187" t="e">
        <f t="shared" si="152"/>
        <v>#DIV/0!</v>
      </c>
      <c r="AD64" s="115">
        <f>SUMIFS(Tabla_Registro_de_movimientos_app.accdb[Importe_Gasto],Tabla_Registro_de_movimientos_app.accdb[Sucursal],Sucursal!AD$5,Tabla_Registro_de_movimientos_app.accdb[Detalle de movimiento],Sucursal!$A64,Tabla_Registro_de_movimientos_app.accdb[Fecha],"&gt;"&amp;Sucursal!$B$4,Tabla_Registro_de_movimientos_app.accdb[Fecha],"&lt;="&amp;Sucursal!$C$4)</f>
        <v>0</v>
      </c>
      <c r="AE64" s="187" t="e">
        <f t="shared" si="153"/>
        <v>#DIV/0!</v>
      </c>
      <c r="AF64" s="115">
        <f>SUMIFS(Tabla_Registro_de_movimientos_app.accdb[Importe_Gasto],Tabla_Registro_de_movimientos_app.accdb[Sucursal],Sucursal!AF$5,Tabla_Registro_de_movimientos_app.accdb[Detalle de movimiento],Sucursal!$A64,Tabla_Registro_de_movimientos_app.accdb[Fecha],"&gt;"&amp;Sucursal!$B$4,Tabla_Registro_de_movimientos_app.accdb[Fecha],"&lt;="&amp;Sucursal!$C$4)</f>
        <v>0</v>
      </c>
      <c r="AG64" s="187" t="e">
        <f t="shared" si="154"/>
        <v>#DIV/0!</v>
      </c>
      <c r="AH64">
        <f>SUMIFS(Tabla_Registro_de_movimientos_app.accdb[Importe_Gasto],Tabla_Registro_de_movimientos_app.accdb[Sucursal],Sucursal!AH$5,Tabla_Registro_de_movimientos_app.accdb[Detalle de movimiento],Sucursal!$A64,Tabla_Registro_de_movimientos_app.accdb[Fecha],"&gt;"&amp;Sucursal!$B$4,Tabla_Registro_de_movimientos_app.accdb[Fecha],"&lt;="&amp;Sucursal!$C$4)</f>
        <v>0</v>
      </c>
      <c r="AI64" s="187" t="e">
        <f t="shared" si="155"/>
        <v>#DIV/0!</v>
      </c>
      <c r="AJ64">
        <f>SUMIFS(Tabla_Registro_de_movimientos_app.accdb[Importe_Gasto],Tabla_Registro_de_movimientos_app.accdb[Sucursal],Sucursal!AJ$5,Tabla_Registro_de_movimientos_app.accdb[Detalle de movimiento],Sucursal!$A64,Tabla_Registro_de_movimientos_app.accdb[Fecha],"&gt;"&amp;Sucursal!$B$4,Tabla_Registro_de_movimientos_app.accdb[Fecha],"&lt;="&amp;Sucursal!$C$4)</f>
        <v>0</v>
      </c>
      <c r="AK64" s="187" t="e">
        <f t="shared" si="156"/>
        <v>#DIV/0!</v>
      </c>
      <c r="AM64" s="188">
        <f t="shared" si="157"/>
        <v>0</v>
      </c>
      <c r="AN64" s="189" t="e">
        <f t="shared" si="158"/>
        <v>#DIV/0!</v>
      </c>
    </row>
    <row r="65" spans="1:40" x14ac:dyDescent="0.25">
      <c r="A65" t="s">
        <v>71</v>
      </c>
      <c r="B65" s="115">
        <f>SUMIFS(Tabla_Registro_de_movimientos_app.accdb[Importe_Gasto],Tabla_Registro_de_movimientos_app.accdb[Sucursal],Sucursal!$B$5,Tabla_Registro_de_movimientos_app.accdb[Detalle de movimiento],Sucursal!A65,Tabla_Registro_de_movimientos_app.accdb[Fecha],"&gt;"&amp;Sucursal!$B$4,Tabla_Registro_de_movimientos_app.accdb[Fecha],"&lt;="&amp;Sucursal!$C$4)</f>
        <v>0</v>
      </c>
      <c r="C65" s="194" t="e">
        <f t="shared" si="139"/>
        <v>#DIV/0!</v>
      </c>
      <c r="D65" s="115">
        <f>SUMIFS(Tabla_Registro_de_movimientos_app.accdb[Importe_Gasto],Tabla_Registro_de_movimientos_app.accdb[Sucursal],Sucursal!D$5,Tabla_Registro_de_movimientos_app.accdb[Detalle de movimiento],Sucursal!$A65,Tabla_Registro_de_movimientos_app.accdb[Fecha],"&gt;"&amp;Sucursal!$B$4,Tabla_Registro_de_movimientos_app.accdb[Fecha],"&lt;="&amp;Sucursal!$C$4)</f>
        <v>0</v>
      </c>
      <c r="E65" s="187" t="e">
        <f t="shared" si="140"/>
        <v>#DIV/0!</v>
      </c>
      <c r="F65" s="115">
        <f>SUMIFS(Tabla_Registro_de_movimientos_app.accdb[Importe_Gasto],Tabla_Registro_de_movimientos_app.accdb[Sucursal],Sucursal!F$5,Tabla_Registro_de_movimientos_app.accdb[Detalle de movimiento],Sucursal!$A65,Tabla_Registro_de_movimientos_app.accdb[Fecha],"&gt;"&amp;Sucursal!$B$4,Tabla_Registro_de_movimientos_app.accdb[Fecha],"&lt;="&amp;Sucursal!$C$4)</f>
        <v>0</v>
      </c>
      <c r="G65" s="187" t="e">
        <f t="shared" ref="G65" si="166">F65/F$69</f>
        <v>#DIV/0!</v>
      </c>
      <c r="H65" s="115">
        <f>SUMIFS(Tabla_Registro_de_movimientos_app.accdb[Importe_Gasto],Tabla_Registro_de_movimientos_app.accdb[Sucursal],Sucursal!H$5,Tabla_Registro_de_movimientos_app.accdb[Detalle de movimiento],Sucursal!$A65,Tabla_Registro_de_movimientos_app.accdb[Fecha],"&gt;"&amp;Sucursal!$B$4,Tabla_Registro_de_movimientos_app.accdb[Fecha],"&lt;="&amp;Sucursal!$C$4)</f>
        <v>0</v>
      </c>
      <c r="I65" s="187" t="e">
        <f t="shared" si="142"/>
        <v>#DIV/0!</v>
      </c>
      <c r="J65">
        <f>SUMIFS(Tabla_Registro_de_movimientos_app.accdb[Importe_Gasto],Tabla_Registro_de_movimientos_app.accdb[Sucursal],Sucursal!J$5,Tabla_Registro_de_movimientos_app.accdb[Detalle de movimiento],Sucursal!$A65,Tabla_Registro_de_movimientos_app.accdb[Fecha],"&gt;"&amp;Sucursal!$B$4,Tabla_Registro_de_movimientos_app.accdb[Fecha],"&lt;="&amp;Sucursal!$C$4)</f>
        <v>0</v>
      </c>
      <c r="K65" s="187" t="e">
        <f t="shared" si="143"/>
        <v>#DIV/0!</v>
      </c>
      <c r="L65" s="115">
        <f>SUMIFS(Tabla_Registro_de_movimientos_app.accdb[Importe_Gasto],Tabla_Registro_de_movimientos_app.accdb[Sucursal],Sucursal!L$5,Tabla_Registro_de_movimientos_app.accdb[Detalle de movimiento],Sucursal!$A65,Tabla_Registro_de_movimientos_app.accdb[Fecha],"&gt;"&amp;Sucursal!$B$4,Tabla_Registro_de_movimientos_app.accdb[Fecha],"&lt;="&amp;Sucursal!$C$4)</f>
        <v>0</v>
      </c>
      <c r="M65" s="187" t="e">
        <f t="shared" si="144"/>
        <v>#DIV/0!</v>
      </c>
      <c r="N65" s="115">
        <f>SUMIFS(Tabla_Registro_de_movimientos_app.accdb[Importe_Gasto],Tabla_Registro_de_movimientos_app.accdb[Sucursal],Sucursal!N$5,Tabla_Registro_de_movimientos_app.accdb[Detalle de movimiento],Sucursal!$A65,Tabla_Registro_de_movimientos_app.accdb[Fecha],"&gt;"&amp;Sucursal!$B$4,Tabla_Registro_de_movimientos_app.accdb[Fecha],"&lt;="&amp;Sucursal!$C$4)</f>
        <v>0</v>
      </c>
      <c r="O65" s="187" t="e">
        <f t="shared" si="145"/>
        <v>#DIV/0!</v>
      </c>
      <c r="P65" s="115">
        <f>SUMIFS(Tabla_Registro_de_movimientos_app.accdb[Importe_Gasto],Tabla_Registro_de_movimientos_app.accdb[Sucursal],Sucursal!P$5,Tabla_Registro_de_movimientos_app.accdb[Detalle de movimiento],Sucursal!$A65,Tabla_Registro_de_movimientos_app.accdb[Fecha],"&gt;"&amp;Sucursal!$B$4,Tabla_Registro_de_movimientos_app.accdb[Fecha],"&lt;="&amp;Sucursal!$C$4)</f>
        <v>0</v>
      </c>
      <c r="Q65" s="187" t="e">
        <f t="shared" si="146"/>
        <v>#DIV/0!</v>
      </c>
      <c r="R65" s="115">
        <f>SUMIFS(Tabla_Registro_de_movimientos_app.accdb[Importe_Gasto],Tabla_Registro_de_movimientos_app.accdb[Sucursal],Sucursal!R$5,Tabla_Registro_de_movimientos_app.accdb[Detalle de movimiento],Sucursal!$A65,Tabla_Registro_de_movimientos_app.accdb[Fecha],"&gt;"&amp;Sucursal!$B$4,Tabla_Registro_de_movimientos_app.accdb[Fecha],"&lt;="&amp;Sucursal!$C$4)</f>
        <v>0</v>
      </c>
      <c r="S65" s="187" t="e">
        <f t="shared" si="147"/>
        <v>#DIV/0!</v>
      </c>
      <c r="T65" s="115">
        <f>SUMIFS(Tabla_Registro_de_movimientos_app.accdb[Importe_Gasto],Tabla_Registro_de_movimientos_app.accdb[Sucursal],Sucursal!T$5,Tabla_Registro_de_movimientos_app.accdb[Detalle de movimiento],Sucursal!$A65,Tabla_Registro_de_movimientos_app.accdb[Fecha],"&gt;"&amp;Sucursal!$B$4,Tabla_Registro_de_movimientos_app.accdb[Fecha],"&lt;="&amp;Sucursal!$C$4)</f>
        <v>0</v>
      </c>
      <c r="U65" s="187" t="e">
        <f t="shared" si="148"/>
        <v>#DIV/0!</v>
      </c>
      <c r="V65">
        <f>SUMIFS(Tabla_Registro_de_movimientos_app.accdb[Importe_Gasto],Tabla_Registro_de_movimientos_app.accdb[Sucursal],Sucursal!V$5,Tabla_Registro_de_movimientos_app.accdb[Detalle de movimiento],Sucursal!$A65,Tabla_Registro_de_movimientos_app.accdb[Fecha],"&gt;"&amp;Sucursal!$B$4,Tabla_Registro_de_movimientos_app.accdb[Fecha],"&lt;="&amp;Sucursal!$C$4)</f>
        <v>0</v>
      </c>
      <c r="W65" s="187" t="e">
        <f t="shared" si="149"/>
        <v>#DIV/0!</v>
      </c>
      <c r="X65" s="115">
        <f>SUMIFS(Tabla_Registro_de_movimientos_app.accdb[Importe_Gasto],Tabla_Registro_de_movimientos_app.accdb[Sucursal],Sucursal!X$5,Tabla_Registro_de_movimientos_app.accdb[Detalle de movimiento],Sucursal!$A65,Tabla_Registro_de_movimientos_app.accdb[Fecha],"&gt;"&amp;Sucursal!$B$4,Tabla_Registro_de_movimientos_app.accdb[Fecha],"&lt;="&amp;Sucursal!$C$4)</f>
        <v>0</v>
      </c>
      <c r="Y65" s="187" t="e">
        <f t="shared" si="150"/>
        <v>#DIV/0!</v>
      </c>
      <c r="Z65" s="115">
        <f>SUMIFS(Tabla_Registro_de_movimientos_app.accdb[Importe_Gasto],Tabla_Registro_de_movimientos_app.accdb[Sucursal],Sucursal!Z$5,Tabla_Registro_de_movimientos_app.accdb[Detalle de movimiento],Sucursal!$A65,Tabla_Registro_de_movimientos_app.accdb[Fecha],"&gt;"&amp;Sucursal!$B$4,Tabla_Registro_de_movimientos_app.accdb[Fecha],"&lt;="&amp;Sucursal!$C$4)</f>
        <v>0</v>
      </c>
      <c r="AA65" s="187" t="e">
        <f t="shared" si="151"/>
        <v>#DIV/0!</v>
      </c>
      <c r="AB65">
        <f>SUMIFS(Tabla_Registro_de_movimientos_app.accdb[Importe_Gasto],Tabla_Registro_de_movimientos_app.accdb[Sucursal],Sucursal!AB$5,Tabla_Registro_de_movimientos_app.accdb[Detalle de movimiento],Sucursal!$A65,Tabla_Registro_de_movimientos_app.accdb[Fecha],"&gt;"&amp;Sucursal!$B$4,Tabla_Registro_de_movimientos_app.accdb[Fecha],"&lt;="&amp;Sucursal!$C$4)</f>
        <v>0</v>
      </c>
      <c r="AC65" s="187" t="e">
        <f t="shared" si="152"/>
        <v>#DIV/0!</v>
      </c>
      <c r="AD65" s="115">
        <f>SUMIFS(Tabla_Registro_de_movimientos_app.accdb[Importe_Gasto],Tabla_Registro_de_movimientos_app.accdb[Sucursal],Sucursal!AD$5,Tabla_Registro_de_movimientos_app.accdb[Detalle de movimiento],Sucursal!$A65,Tabla_Registro_de_movimientos_app.accdb[Fecha],"&gt;"&amp;Sucursal!$B$4,Tabla_Registro_de_movimientos_app.accdb[Fecha],"&lt;="&amp;Sucursal!$C$4)</f>
        <v>0</v>
      </c>
      <c r="AE65" s="187" t="e">
        <f t="shared" si="153"/>
        <v>#DIV/0!</v>
      </c>
      <c r="AF65" s="115">
        <f>SUMIFS(Tabla_Registro_de_movimientos_app.accdb[Importe_Gasto],Tabla_Registro_de_movimientos_app.accdb[Sucursal],Sucursal!AF$5,Tabla_Registro_de_movimientos_app.accdb[Detalle de movimiento],Sucursal!$A65,Tabla_Registro_de_movimientos_app.accdb[Fecha],"&gt;"&amp;Sucursal!$B$4,Tabla_Registro_de_movimientos_app.accdb[Fecha],"&lt;="&amp;Sucursal!$C$4)</f>
        <v>0</v>
      </c>
      <c r="AG65" s="187" t="e">
        <f t="shared" si="154"/>
        <v>#DIV/0!</v>
      </c>
      <c r="AH65">
        <f>SUMIFS(Tabla_Registro_de_movimientos_app.accdb[Importe_Gasto],Tabla_Registro_de_movimientos_app.accdb[Sucursal],Sucursal!AH$5,Tabla_Registro_de_movimientos_app.accdb[Detalle de movimiento],Sucursal!$A65,Tabla_Registro_de_movimientos_app.accdb[Fecha],"&gt;"&amp;Sucursal!$B$4,Tabla_Registro_de_movimientos_app.accdb[Fecha],"&lt;="&amp;Sucursal!$C$4)</f>
        <v>0</v>
      </c>
      <c r="AI65" s="187" t="e">
        <f t="shared" si="155"/>
        <v>#DIV/0!</v>
      </c>
      <c r="AJ65">
        <f>SUMIFS(Tabla_Registro_de_movimientos_app.accdb[Importe_Gasto],Tabla_Registro_de_movimientos_app.accdb[Sucursal],Sucursal!AJ$5,Tabla_Registro_de_movimientos_app.accdb[Detalle de movimiento],Sucursal!$A65,Tabla_Registro_de_movimientos_app.accdb[Fecha],"&gt;"&amp;Sucursal!$B$4,Tabla_Registro_de_movimientos_app.accdb[Fecha],"&lt;="&amp;Sucursal!$C$4)</f>
        <v>0</v>
      </c>
      <c r="AK65" s="187" t="e">
        <f t="shared" si="156"/>
        <v>#DIV/0!</v>
      </c>
      <c r="AM65" s="188">
        <f t="shared" si="157"/>
        <v>0</v>
      </c>
      <c r="AN65" s="189" t="e">
        <f t="shared" si="158"/>
        <v>#DIV/0!</v>
      </c>
    </row>
    <row r="66" spans="1:40" x14ac:dyDescent="0.25">
      <c r="A66" t="s">
        <v>72</v>
      </c>
      <c r="B66" s="115">
        <f>SUMIFS(Tabla_Registro_de_movimientos_app.accdb[Importe_Gasto],Tabla_Registro_de_movimientos_app.accdb[Sucursal],Sucursal!$B$5,Tabla_Registro_de_movimientos_app.accdb[Detalle de movimiento],Sucursal!A66,Tabla_Registro_de_movimientos_app.accdb[Fecha],"&gt;"&amp;Sucursal!$B$4,Tabla_Registro_de_movimientos_app.accdb[Fecha],"&lt;="&amp;Sucursal!$C$4)</f>
        <v>0</v>
      </c>
      <c r="C66" s="194" t="e">
        <f t="shared" si="139"/>
        <v>#DIV/0!</v>
      </c>
      <c r="D66" s="115">
        <f>SUMIFS(Tabla_Registro_de_movimientos_app.accdb[Importe_Gasto],Tabla_Registro_de_movimientos_app.accdb[Sucursal],Sucursal!D$5,Tabla_Registro_de_movimientos_app.accdb[Detalle de movimiento],Sucursal!$A66,Tabla_Registro_de_movimientos_app.accdb[Fecha],"&gt;"&amp;Sucursal!$B$4,Tabla_Registro_de_movimientos_app.accdb[Fecha],"&lt;="&amp;Sucursal!$C$4)</f>
        <v>0</v>
      </c>
      <c r="E66" s="187" t="e">
        <f t="shared" si="140"/>
        <v>#DIV/0!</v>
      </c>
      <c r="F66" s="115">
        <f>SUMIFS(Tabla_Registro_de_movimientos_app.accdb[Importe_Gasto],Tabla_Registro_de_movimientos_app.accdb[Sucursal],Sucursal!F$5,Tabla_Registro_de_movimientos_app.accdb[Detalle de movimiento],Sucursal!$A66,Tabla_Registro_de_movimientos_app.accdb[Fecha],"&gt;"&amp;Sucursal!$B$4,Tabla_Registro_de_movimientos_app.accdb[Fecha],"&lt;="&amp;Sucursal!$C$4)</f>
        <v>0</v>
      </c>
      <c r="G66" s="187" t="e">
        <f t="shared" ref="G66" si="167">F66/F$69</f>
        <v>#DIV/0!</v>
      </c>
      <c r="H66" s="115">
        <f>SUMIFS(Tabla_Registro_de_movimientos_app.accdb[Importe_Gasto],Tabla_Registro_de_movimientos_app.accdb[Sucursal],Sucursal!H$5,Tabla_Registro_de_movimientos_app.accdb[Detalle de movimiento],Sucursal!$A66,Tabla_Registro_de_movimientos_app.accdb[Fecha],"&gt;"&amp;Sucursal!$B$4,Tabla_Registro_de_movimientos_app.accdb[Fecha],"&lt;="&amp;Sucursal!$C$4)</f>
        <v>0</v>
      </c>
      <c r="I66" s="187" t="e">
        <f t="shared" si="142"/>
        <v>#DIV/0!</v>
      </c>
      <c r="J66">
        <f>SUMIFS(Tabla_Registro_de_movimientos_app.accdb[Importe_Gasto],Tabla_Registro_de_movimientos_app.accdb[Sucursal],Sucursal!J$5,Tabla_Registro_de_movimientos_app.accdb[Detalle de movimiento],Sucursal!$A66,Tabla_Registro_de_movimientos_app.accdb[Fecha],"&gt;"&amp;Sucursal!$B$4,Tabla_Registro_de_movimientos_app.accdb[Fecha],"&lt;="&amp;Sucursal!$C$4)</f>
        <v>0</v>
      </c>
      <c r="K66" s="187" t="e">
        <f t="shared" si="143"/>
        <v>#DIV/0!</v>
      </c>
      <c r="L66" s="115">
        <f>SUMIFS(Tabla_Registro_de_movimientos_app.accdb[Importe_Gasto],Tabla_Registro_de_movimientos_app.accdb[Sucursal],Sucursal!L$5,Tabla_Registro_de_movimientos_app.accdb[Detalle de movimiento],Sucursal!$A66,Tabla_Registro_de_movimientos_app.accdb[Fecha],"&gt;"&amp;Sucursal!$B$4,Tabla_Registro_de_movimientos_app.accdb[Fecha],"&lt;="&amp;Sucursal!$C$4)</f>
        <v>0</v>
      </c>
      <c r="M66" s="187" t="e">
        <f t="shared" si="144"/>
        <v>#DIV/0!</v>
      </c>
      <c r="N66" s="115">
        <f>SUMIFS(Tabla_Registro_de_movimientos_app.accdb[Importe_Gasto],Tabla_Registro_de_movimientos_app.accdb[Sucursal],Sucursal!N$5,Tabla_Registro_de_movimientos_app.accdb[Detalle de movimiento],Sucursal!$A66,Tabla_Registro_de_movimientos_app.accdb[Fecha],"&gt;"&amp;Sucursal!$B$4,Tabla_Registro_de_movimientos_app.accdb[Fecha],"&lt;="&amp;Sucursal!$C$4)</f>
        <v>0</v>
      </c>
      <c r="O66" s="187" t="e">
        <f t="shared" si="145"/>
        <v>#DIV/0!</v>
      </c>
      <c r="P66" s="115">
        <f>SUMIFS(Tabla_Registro_de_movimientos_app.accdb[Importe_Gasto],Tabla_Registro_de_movimientos_app.accdb[Sucursal],Sucursal!P$5,Tabla_Registro_de_movimientos_app.accdb[Detalle de movimiento],Sucursal!$A66,Tabla_Registro_de_movimientos_app.accdb[Fecha],"&gt;"&amp;Sucursal!$B$4,Tabla_Registro_de_movimientos_app.accdb[Fecha],"&lt;="&amp;Sucursal!$C$4)</f>
        <v>0</v>
      </c>
      <c r="Q66" s="187" t="e">
        <f t="shared" si="146"/>
        <v>#DIV/0!</v>
      </c>
      <c r="R66" s="115">
        <f>SUMIFS(Tabla_Registro_de_movimientos_app.accdb[Importe_Gasto],Tabla_Registro_de_movimientos_app.accdb[Sucursal],Sucursal!R$5,Tabla_Registro_de_movimientos_app.accdb[Detalle de movimiento],Sucursal!$A66,Tabla_Registro_de_movimientos_app.accdb[Fecha],"&gt;"&amp;Sucursal!$B$4,Tabla_Registro_de_movimientos_app.accdb[Fecha],"&lt;="&amp;Sucursal!$C$4)</f>
        <v>0</v>
      </c>
      <c r="S66" s="187" t="e">
        <f t="shared" si="147"/>
        <v>#DIV/0!</v>
      </c>
      <c r="T66" s="115">
        <f>SUMIFS(Tabla_Registro_de_movimientos_app.accdb[Importe_Gasto],Tabla_Registro_de_movimientos_app.accdb[Sucursal],Sucursal!T$5,Tabla_Registro_de_movimientos_app.accdb[Detalle de movimiento],Sucursal!$A66,Tabla_Registro_de_movimientos_app.accdb[Fecha],"&gt;"&amp;Sucursal!$B$4,Tabla_Registro_de_movimientos_app.accdb[Fecha],"&lt;="&amp;Sucursal!$C$4)</f>
        <v>0</v>
      </c>
      <c r="U66" s="187" t="e">
        <f t="shared" si="148"/>
        <v>#DIV/0!</v>
      </c>
      <c r="V66">
        <f>SUMIFS(Tabla_Registro_de_movimientos_app.accdb[Importe_Gasto],Tabla_Registro_de_movimientos_app.accdb[Sucursal],Sucursal!V$5,Tabla_Registro_de_movimientos_app.accdb[Detalle de movimiento],Sucursal!$A66,Tabla_Registro_de_movimientos_app.accdb[Fecha],"&gt;"&amp;Sucursal!$B$4,Tabla_Registro_de_movimientos_app.accdb[Fecha],"&lt;="&amp;Sucursal!$C$4)</f>
        <v>0</v>
      </c>
      <c r="W66" s="187" t="e">
        <f t="shared" si="149"/>
        <v>#DIV/0!</v>
      </c>
      <c r="X66" s="115">
        <f>SUMIFS(Tabla_Registro_de_movimientos_app.accdb[Importe_Gasto],Tabla_Registro_de_movimientos_app.accdb[Sucursal],Sucursal!X$5,Tabla_Registro_de_movimientos_app.accdb[Detalle de movimiento],Sucursal!$A66,Tabla_Registro_de_movimientos_app.accdb[Fecha],"&gt;"&amp;Sucursal!$B$4,Tabla_Registro_de_movimientos_app.accdb[Fecha],"&lt;="&amp;Sucursal!$C$4)</f>
        <v>0</v>
      </c>
      <c r="Y66" s="187" t="e">
        <f t="shared" si="150"/>
        <v>#DIV/0!</v>
      </c>
      <c r="Z66" s="115">
        <f>SUMIFS(Tabla_Registro_de_movimientos_app.accdb[Importe_Gasto],Tabla_Registro_de_movimientos_app.accdb[Sucursal],Sucursal!Z$5,Tabla_Registro_de_movimientos_app.accdb[Detalle de movimiento],Sucursal!$A66,Tabla_Registro_de_movimientos_app.accdb[Fecha],"&gt;"&amp;Sucursal!$B$4,Tabla_Registro_de_movimientos_app.accdb[Fecha],"&lt;="&amp;Sucursal!$C$4)</f>
        <v>0</v>
      </c>
      <c r="AA66" s="187" t="e">
        <f t="shared" si="151"/>
        <v>#DIV/0!</v>
      </c>
      <c r="AB66">
        <f>SUMIFS(Tabla_Registro_de_movimientos_app.accdb[Importe_Gasto],Tabla_Registro_de_movimientos_app.accdb[Sucursal],Sucursal!AB$5,Tabla_Registro_de_movimientos_app.accdb[Detalle de movimiento],Sucursal!$A66,Tabla_Registro_de_movimientos_app.accdb[Fecha],"&gt;"&amp;Sucursal!$B$4,Tabla_Registro_de_movimientos_app.accdb[Fecha],"&lt;="&amp;Sucursal!$C$4)</f>
        <v>0</v>
      </c>
      <c r="AC66" s="187" t="e">
        <f t="shared" si="152"/>
        <v>#DIV/0!</v>
      </c>
      <c r="AD66" s="115">
        <f>SUMIFS(Tabla_Registro_de_movimientos_app.accdb[Importe_Gasto],Tabla_Registro_de_movimientos_app.accdb[Sucursal],Sucursal!AD$5,Tabla_Registro_de_movimientos_app.accdb[Detalle de movimiento],Sucursal!$A66,Tabla_Registro_de_movimientos_app.accdb[Fecha],"&gt;"&amp;Sucursal!$B$4,Tabla_Registro_de_movimientos_app.accdb[Fecha],"&lt;="&amp;Sucursal!$C$4)</f>
        <v>0</v>
      </c>
      <c r="AE66" s="187" t="e">
        <f t="shared" si="153"/>
        <v>#DIV/0!</v>
      </c>
      <c r="AF66" s="115">
        <f>SUMIFS(Tabla_Registro_de_movimientos_app.accdb[Importe_Gasto],Tabla_Registro_de_movimientos_app.accdb[Sucursal],Sucursal!AF$5,Tabla_Registro_de_movimientos_app.accdb[Detalle de movimiento],Sucursal!$A66,Tabla_Registro_de_movimientos_app.accdb[Fecha],"&gt;"&amp;Sucursal!$B$4,Tabla_Registro_de_movimientos_app.accdb[Fecha],"&lt;="&amp;Sucursal!$C$4)</f>
        <v>0</v>
      </c>
      <c r="AG66" s="187" t="e">
        <f t="shared" si="154"/>
        <v>#DIV/0!</v>
      </c>
      <c r="AH66">
        <f>SUMIFS(Tabla_Registro_de_movimientos_app.accdb[Importe_Gasto],Tabla_Registro_de_movimientos_app.accdb[Sucursal],Sucursal!AH$5,Tabla_Registro_de_movimientos_app.accdb[Detalle de movimiento],Sucursal!$A66,Tabla_Registro_de_movimientos_app.accdb[Fecha],"&gt;"&amp;Sucursal!$B$4,Tabla_Registro_de_movimientos_app.accdb[Fecha],"&lt;="&amp;Sucursal!$C$4)</f>
        <v>0</v>
      </c>
      <c r="AI66" s="187" t="e">
        <f t="shared" si="155"/>
        <v>#DIV/0!</v>
      </c>
      <c r="AJ66">
        <f>SUMIFS(Tabla_Registro_de_movimientos_app.accdb[Importe_Gasto],Tabla_Registro_de_movimientos_app.accdb[Sucursal],Sucursal!AJ$5,Tabla_Registro_de_movimientos_app.accdb[Detalle de movimiento],Sucursal!$A66,Tabla_Registro_de_movimientos_app.accdb[Fecha],"&gt;"&amp;Sucursal!$B$4,Tabla_Registro_de_movimientos_app.accdb[Fecha],"&lt;="&amp;Sucursal!$C$4)</f>
        <v>0</v>
      </c>
      <c r="AK66" s="187" t="e">
        <f t="shared" si="156"/>
        <v>#DIV/0!</v>
      </c>
      <c r="AM66" s="188">
        <f t="shared" si="157"/>
        <v>0</v>
      </c>
      <c r="AN66" s="189" t="e">
        <f t="shared" si="158"/>
        <v>#DIV/0!</v>
      </c>
    </row>
    <row r="67" spans="1:40" x14ac:dyDescent="0.25">
      <c r="A67" t="s">
        <v>73</v>
      </c>
      <c r="B67" s="115">
        <f>SUMIFS(Tabla_Registro_de_movimientos_app.accdb[Importe_Gasto],Tabla_Registro_de_movimientos_app.accdb[Sucursal],Sucursal!$B$5,Tabla_Registro_de_movimientos_app.accdb[Detalle de movimiento],Sucursal!A67,Tabla_Registro_de_movimientos_app.accdb[Fecha],"&gt;"&amp;Sucursal!$B$4,Tabla_Registro_de_movimientos_app.accdb[Fecha],"&lt;="&amp;Sucursal!$C$4)</f>
        <v>0</v>
      </c>
      <c r="C67" s="194" t="e">
        <f t="shared" si="139"/>
        <v>#DIV/0!</v>
      </c>
      <c r="D67" s="115">
        <f>SUMIFS(Tabla_Registro_de_movimientos_app.accdb[Importe_Gasto],Tabla_Registro_de_movimientos_app.accdb[Sucursal],Sucursal!D$5,Tabla_Registro_de_movimientos_app.accdb[Detalle de movimiento],Sucursal!$A67,Tabla_Registro_de_movimientos_app.accdb[Fecha],"&gt;"&amp;Sucursal!$B$4,Tabla_Registro_de_movimientos_app.accdb[Fecha],"&lt;="&amp;Sucursal!$C$4)</f>
        <v>0</v>
      </c>
      <c r="E67" s="187" t="e">
        <f t="shared" si="140"/>
        <v>#DIV/0!</v>
      </c>
      <c r="F67" s="115">
        <f>SUMIFS(Tabla_Registro_de_movimientos_app.accdb[Importe_Gasto],Tabla_Registro_de_movimientos_app.accdb[Sucursal],Sucursal!F$5,Tabla_Registro_de_movimientos_app.accdb[Detalle de movimiento],Sucursal!$A67,Tabla_Registro_de_movimientos_app.accdb[Fecha],"&gt;"&amp;Sucursal!$B$4,Tabla_Registro_de_movimientos_app.accdb[Fecha],"&lt;="&amp;Sucursal!$C$4)</f>
        <v>0</v>
      </c>
      <c r="G67" s="187" t="e">
        <f t="shared" ref="G67" si="168">F67/F$69</f>
        <v>#DIV/0!</v>
      </c>
      <c r="H67" s="115">
        <f>SUMIFS(Tabla_Registro_de_movimientos_app.accdb[Importe_Gasto],Tabla_Registro_de_movimientos_app.accdb[Sucursal],Sucursal!H$5,Tabla_Registro_de_movimientos_app.accdb[Detalle de movimiento],Sucursal!$A67,Tabla_Registro_de_movimientos_app.accdb[Fecha],"&gt;"&amp;Sucursal!$B$4,Tabla_Registro_de_movimientos_app.accdb[Fecha],"&lt;="&amp;Sucursal!$C$4)</f>
        <v>0</v>
      </c>
      <c r="I67" s="187" t="e">
        <f t="shared" si="142"/>
        <v>#DIV/0!</v>
      </c>
      <c r="J67">
        <f>SUMIFS(Tabla_Registro_de_movimientos_app.accdb[Importe_Gasto],Tabla_Registro_de_movimientos_app.accdb[Sucursal],Sucursal!J$5,Tabla_Registro_de_movimientos_app.accdb[Detalle de movimiento],Sucursal!$A67,Tabla_Registro_de_movimientos_app.accdb[Fecha],"&gt;"&amp;Sucursal!$B$4,Tabla_Registro_de_movimientos_app.accdb[Fecha],"&lt;="&amp;Sucursal!$C$4)</f>
        <v>0</v>
      </c>
      <c r="K67" s="187" t="e">
        <f t="shared" si="143"/>
        <v>#DIV/0!</v>
      </c>
      <c r="L67" s="115">
        <f>SUMIFS(Tabla_Registro_de_movimientos_app.accdb[Importe_Gasto],Tabla_Registro_de_movimientos_app.accdb[Sucursal],Sucursal!L$5,Tabla_Registro_de_movimientos_app.accdb[Detalle de movimiento],Sucursal!$A67,Tabla_Registro_de_movimientos_app.accdb[Fecha],"&gt;"&amp;Sucursal!$B$4,Tabla_Registro_de_movimientos_app.accdb[Fecha],"&lt;="&amp;Sucursal!$C$4)</f>
        <v>0</v>
      </c>
      <c r="M67" s="187" t="e">
        <f t="shared" si="144"/>
        <v>#DIV/0!</v>
      </c>
      <c r="N67" s="115">
        <f>SUMIFS(Tabla_Registro_de_movimientos_app.accdb[Importe_Gasto],Tabla_Registro_de_movimientos_app.accdb[Sucursal],Sucursal!N$5,Tabla_Registro_de_movimientos_app.accdb[Detalle de movimiento],Sucursal!$A67,Tabla_Registro_de_movimientos_app.accdb[Fecha],"&gt;"&amp;Sucursal!$B$4,Tabla_Registro_de_movimientos_app.accdb[Fecha],"&lt;="&amp;Sucursal!$C$4)</f>
        <v>0</v>
      </c>
      <c r="O67" s="187" t="e">
        <f t="shared" si="145"/>
        <v>#DIV/0!</v>
      </c>
      <c r="P67" s="115">
        <f>SUMIFS(Tabla_Registro_de_movimientos_app.accdb[Importe_Gasto],Tabla_Registro_de_movimientos_app.accdb[Sucursal],Sucursal!P$5,Tabla_Registro_de_movimientos_app.accdb[Detalle de movimiento],Sucursal!$A67,Tabla_Registro_de_movimientos_app.accdb[Fecha],"&gt;"&amp;Sucursal!$B$4,Tabla_Registro_de_movimientos_app.accdb[Fecha],"&lt;="&amp;Sucursal!$C$4)</f>
        <v>0</v>
      </c>
      <c r="Q67" s="187" t="e">
        <f t="shared" si="146"/>
        <v>#DIV/0!</v>
      </c>
      <c r="R67" s="115">
        <f>SUMIFS(Tabla_Registro_de_movimientos_app.accdb[Importe_Gasto],Tabla_Registro_de_movimientos_app.accdb[Sucursal],Sucursal!R$5,Tabla_Registro_de_movimientos_app.accdb[Detalle de movimiento],Sucursal!$A67,Tabla_Registro_de_movimientos_app.accdb[Fecha],"&gt;"&amp;Sucursal!$B$4,Tabla_Registro_de_movimientos_app.accdb[Fecha],"&lt;="&amp;Sucursal!$C$4)</f>
        <v>0</v>
      </c>
      <c r="S67" s="187" t="e">
        <f t="shared" si="147"/>
        <v>#DIV/0!</v>
      </c>
      <c r="T67" s="115">
        <f>SUMIFS(Tabla_Registro_de_movimientos_app.accdb[Importe_Gasto],Tabla_Registro_de_movimientos_app.accdb[Sucursal],Sucursal!T$5,Tabla_Registro_de_movimientos_app.accdb[Detalle de movimiento],Sucursal!$A67,Tabla_Registro_de_movimientos_app.accdb[Fecha],"&gt;"&amp;Sucursal!$B$4,Tabla_Registro_de_movimientos_app.accdb[Fecha],"&lt;="&amp;Sucursal!$C$4)</f>
        <v>0</v>
      </c>
      <c r="U67" s="187" t="e">
        <f t="shared" si="148"/>
        <v>#DIV/0!</v>
      </c>
      <c r="V67">
        <f>SUMIFS(Tabla_Registro_de_movimientos_app.accdb[Importe_Gasto],Tabla_Registro_de_movimientos_app.accdb[Sucursal],Sucursal!V$5,Tabla_Registro_de_movimientos_app.accdb[Detalle de movimiento],Sucursal!$A67,Tabla_Registro_de_movimientos_app.accdb[Fecha],"&gt;"&amp;Sucursal!$B$4,Tabla_Registro_de_movimientos_app.accdb[Fecha],"&lt;="&amp;Sucursal!$C$4)</f>
        <v>0</v>
      </c>
      <c r="W67" s="187" t="e">
        <f t="shared" si="149"/>
        <v>#DIV/0!</v>
      </c>
      <c r="X67" s="115">
        <f>SUMIFS(Tabla_Registro_de_movimientos_app.accdb[Importe_Gasto],Tabla_Registro_de_movimientos_app.accdb[Sucursal],Sucursal!X$5,Tabla_Registro_de_movimientos_app.accdb[Detalle de movimiento],Sucursal!$A67,Tabla_Registro_de_movimientos_app.accdb[Fecha],"&gt;"&amp;Sucursal!$B$4,Tabla_Registro_de_movimientos_app.accdb[Fecha],"&lt;="&amp;Sucursal!$C$4)</f>
        <v>0</v>
      </c>
      <c r="Y67" s="187" t="e">
        <f t="shared" si="150"/>
        <v>#DIV/0!</v>
      </c>
      <c r="Z67" s="115">
        <f>SUMIFS(Tabla_Registro_de_movimientos_app.accdb[Importe_Gasto],Tabla_Registro_de_movimientos_app.accdb[Sucursal],Sucursal!Z$5,Tabla_Registro_de_movimientos_app.accdb[Detalle de movimiento],Sucursal!$A67,Tabla_Registro_de_movimientos_app.accdb[Fecha],"&gt;"&amp;Sucursal!$B$4,Tabla_Registro_de_movimientos_app.accdb[Fecha],"&lt;="&amp;Sucursal!$C$4)</f>
        <v>0</v>
      </c>
      <c r="AA67" s="187" t="e">
        <f t="shared" si="151"/>
        <v>#DIV/0!</v>
      </c>
      <c r="AB67">
        <f>SUMIFS(Tabla_Registro_de_movimientos_app.accdb[Importe_Gasto],Tabla_Registro_de_movimientos_app.accdb[Sucursal],Sucursal!AB$5,Tabla_Registro_de_movimientos_app.accdb[Detalle de movimiento],Sucursal!$A67,Tabla_Registro_de_movimientos_app.accdb[Fecha],"&gt;"&amp;Sucursal!$B$4,Tabla_Registro_de_movimientos_app.accdb[Fecha],"&lt;="&amp;Sucursal!$C$4)</f>
        <v>0</v>
      </c>
      <c r="AC67" s="187" t="e">
        <f t="shared" si="152"/>
        <v>#DIV/0!</v>
      </c>
      <c r="AD67" s="115">
        <f>SUMIFS(Tabla_Registro_de_movimientos_app.accdb[Importe_Gasto],Tabla_Registro_de_movimientos_app.accdb[Sucursal],Sucursal!AD$5,Tabla_Registro_de_movimientos_app.accdb[Detalle de movimiento],Sucursal!$A67,Tabla_Registro_de_movimientos_app.accdb[Fecha],"&gt;"&amp;Sucursal!$B$4,Tabla_Registro_de_movimientos_app.accdb[Fecha],"&lt;="&amp;Sucursal!$C$4)</f>
        <v>0</v>
      </c>
      <c r="AE67" s="187" t="e">
        <f t="shared" si="153"/>
        <v>#DIV/0!</v>
      </c>
      <c r="AF67" s="115">
        <f>SUMIFS(Tabla_Registro_de_movimientos_app.accdb[Importe_Gasto],Tabla_Registro_de_movimientos_app.accdb[Sucursal],Sucursal!AF$5,Tabla_Registro_de_movimientos_app.accdb[Detalle de movimiento],Sucursal!$A67,Tabla_Registro_de_movimientos_app.accdb[Fecha],"&gt;"&amp;Sucursal!$B$4,Tabla_Registro_de_movimientos_app.accdb[Fecha],"&lt;="&amp;Sucursal!$C$4)</f>
        <v>0</v>
      </c>
      <c r="AG67" s="187" t="e">
        <f t="shared" si="154"/>
        <v>#DIV/0!</v>
      </c>
      <c r="AH67">
        <f>SUMIFS(Tabla_Registro_de_movimientos_app.accdb[Importe_Gasto],Tabla_Registro_de_movimientos_app.accdb[Sucursal],Sucursal!AH$5,Tabla_Registro_de_movimientos_app.accdb[Detalle de movimiento],Sucursal!$A67,Tabla_Registro_de_movimientos_app.accdb[Fecha],"&gt;"&amp;Sucursal!$B$4,Tabla_Registro_de_movimientos_app.accdb[Fecha],"&lt;="&amp;Sucursal!$C$4)</f>
        <v>0</v>
      </c>
      <c r="AI67" s="187" t="e">
        <f t="shared" si="155"/>
        <v>#DIV/0!</v>
      </c>
      <c r="AJ67">
        <f>SUMIFS(Tabla_Registro_de_movimientos_app.accdb[Importe_Gasto],Tabla_Registro_de_movimientos_app.accdb[Sucursal],Sucursal!AJ$5,Tabla_Registro_de_movimientos_app.accdb[Detalle de movimiento],Sucursal!$A67,Tabla_Registro_de_movimientos_app.accdb[Fecha],"&gt;"&amp;Sucursal!$B$4,Tabla_Registro_de_movimientos_app.accdb[Fecha],"&lt;="&amp;Sucursal!$C$4)</f>
        <v>0</v>
      </c>
      <c r="AK67" s="187" t="e">
        <f t="shared" si="156"/>
        <v>#DIV/0!</v>
      </c>
      <c r="AM67" s="188">
        <f t="shared" si="157"/>
        <v>0</v>
      </c>
      <c r="AN67" s="189" t="e">
        <f t="shared" si="158"/>
        <v>#DIV/0!</v>
      </c>
    </row>
    <row r="68" spans="1:40" x14ac:dyDescent="0.25">
      <c r="A68" t="s">
        <v>74</v>
      </c>
      <c r="B68" s="115">
        <f>SUMIFS(Tabla_Registro_de_movimientos_app.accdb[Importe_Gasto],Tabla_Registro_de_movimientos_app.accdb[Sucursal],Sucursal!$B$5,Tabla_Registro_de_movimientos_app.accdb[Detalle de movimiento],Sucursal!A68,Tabla_Registro_de_movimientos_app.accdb[Fecha],"&gt;"&amp;Sucursal!$B$4,Tabla_Registro_de_movimientos_app.accdb[Fecha],"&lt;="&amp;Sucursal!$C$4)</f>
        <v>0</v>
      </c>
      <c r="C68" s="194" t="e">
        <f t="shared" si="139"/>
        <v>#DIV/0!</v>
      </c>
      <c r="D68" s="115">
        <f>SUMIFS(Tabla_Registro_de_movimientos_app.accdb[Importe_Gasto],Tabla_Registro_de_movimientos_app.accdb[Sucursal],Sucursal!D$5,Tabla_Registro_de_movimientos_app.accdb[Detalle de movimiento],Sucursal!$A68,Tabla_Registro_de_movimientos_app.accdb[Fecha],"&gt;"&amp;Sucursal!$B$4,Tabla_Registro_de_movimientos_app.accdb[Fecha],"&lt;="&amp;Sucursal!$C$4)</f>
        <v>0</v>
      </c>
      <c r="E68" s="187" t="e">
        <f t="shared" si="140"/>
        <v>#DIV/0!</v>
      </c>
      <c r="F68" s="115">
        <f>SUMIFS(Tabla_Registro_de_movimientos_app.accdb[Importe_Gasto],Tabla_Registro_de_movimientos_app.accdb[Sucursal],Sucursal!F$5,Tabla_Registro_de_movimientos_app.accdb[Detalle de movimiento],Sucursal!$A68,Tabla_Registro_de_movimientos_app.accdb[Fecha],"&gt;"&amp;Sucursal!$B$4,Tabla_Registro_de_movimientos_app.accdb[Fecha],"&lt;="&amp;Sucursal!$C$4)</f>
        <v>0</v>
      </c>
      <c r="G68" s="187" t="e">
        <f t="shared" ref="G68" si="169">F68/F$69</f>
        <v>#DIV/0!</v>
      </c>
      <c r="H68" s="115">
        <f>SUMIFS(Tabla_Registro_de_movimientos_app.accdb[Importe_Gasto],Tabla_Registro_de_movimientos_app.accdb[Sucursal],Sucursal!H$5,Tabla_Registro_de_movimientos_app.accdb[Detalle de movimiento],Sucursal!$A68,Tabla_Registro_de_movimientos_app.accdb[Fecha],"&gt;"&amp;Sucursal!$B$4,Tabla_Registro_de_movimientos_app.accdb[Fecha],"&lt;="&amp;Sucursal!$C$4)</f>
        <v>0</v>
      </c>
      <c r="I68" s="187" t="e">
        <f t="shared" si="142"/>
        <v>#DIV/0!</v>
      </c>
      <c r="J68">
        <f>SUMIFS(Tabla_Registro_de_movimientos_app.accdb[Importe_Gasto],Tabla_Registro_de_movimientos_app.accdb[Sucursal],Sucursal!J$5,Tabla_Registro_de_movimientos_app.accdb[Detalle de movimiento],Sucursal!$A68,Tabla_Registro_de_movimientos_app.accdb[Fecha],"&gt;"&amp;Sucursal!$B$4,Tabla_Registro_de_movimientos_app.accdb[Fecha],"&lt;="&amp;Sucursal!$C$4)</f>
        <v>0</v>
      </c>
      <c r="K68" s="187" t="e">
        <f t="shared" si="143"/>
        <v>#DIV/0!</v>
      </c>
      <c r="L68" s="115">
        <f>SUMIFS(Tabla_Registro_de_movimientos_app.accdb[Importe_Gasto],Tabla_Registro_de_movimientos_app.accdb[Sucursal],Sucursal!L$5,Tabla_Registro_de_movimientos_app.accdb[Detalle de movimiento],Sucursal!$A68,Tabla_Registro_de_movimientos_app.accdb[Fecha],"&gt;"&amp;Sucursal!$B$4,Tabla_Registro_de_movimientos_app.accdb[Fecha],"&lt;="&amp;Sucursal!$C$4)</f>
        <v>0</v>
      </c>
      <c r="M68" s="187" t="e">
        <f t="shared" si="144"/>
        <v>#DIV/0!</v>
      </c>
      <c r="N68" s="115">
        <f>SUMIFS(Tabla_Registro_de_movimientos_app.accdb[Importe_Gasto],Tabla_Registro_de_movimientos_app.accdb[Sucursal],Sucursal!N$5,Tabla_Registro_de_movimientos_app.accdb[Detalle de movimiento],Sucursal!$A68,Tabla_Registro_de_movimientos_app.accdb[Fecha],"&gt;"&amp;Sucursal!$B$4,Tabla_Registro_de_movimientos_app.accdb[Fecha],"&lt;="&amp;Sucursal!$C$4)</f>
        <v>0</v>
      </c>
      <c r="O68" s="187" t="e">
        <f t="shared" si="145"/>
        <v>#DIV/0!</v>
      </c>
      <c r="P68" s="115">
        <f>SUMIFS(Tabla_Registro_de_movimientos_app.accdb[Importe_Gasto],Tabla_Registro_de_movimientos_app.accdb[Sucursal],Sucursal!P$5,Tabla_Registro_de_movimientos_app.accdb[Detalle de movimiento],Sucursal!$A68,Tabla_Registro_de_movimientos_app.accdb[Fecha],"&gt;"&amp;Sucursal!$B$4,Tabla_Registro_de_movimientos_app.accdb[Fecha],"&lt;="&amp;Sucursal!$C$4)</f>
        <v>0</v>
      </c>
      <c r="Q68" s="187" t="e">
        <f t="shared" si="146"/>
        <v>#DIV/0!</v>
      </c>
      <c r="R68" s="115">
        <f>SUMIFS(Tabla_Registro_de_movimientos_app.accdb[Importe_Gasto],Tabla_Registro_de_movimientos_app.accdb[Sucursal],Sucursal!R$5,Tabla_Registro_de_movimientos_app.accdb[Detalle de movimiento],Sucursal!$A68,Tabla_Registro_de_movimientos_app.accdb[Fecha],"&gt;"&amp;Sucursal!$B$4,Tabla_Registro_de_movimientos_app.accdb[Fecha],"&lt;="&amp;Sucursal!$C$4)</f>
        <v>0</v>
      </c>
      <c r="S68" s="187" t="e">
        <f t="shared" si="147"/>
        <v>#DIV/0!</v>
      </c>
      <c r="T68" s="115">
        <f>SUMIFS(Tabla_Registro_de_movimientos_app.accdb[Importe_Gasto],Tabla_Registro_de_movimientos_app.accdb[Sucursal],Sucursal!T$5,Tabla_Registro_de_movimientos_app.accdb[Detalle de movimiento],Sucursal!$A68,Tabla_Registro_de_movimientos_app.accdb[Fecha],"&gt;"&amp;Sucursal!$B$4,Tabla_Registro_de_movimientos_app.accdb[Fecha],"&lt;="&amp;Sucursal!$C$4)</f>
        <v>0</v>
      </c>
      <c r="U68" s="187" t="e">
        <f t="shared" si="148"/>
        <v>#DIV/0!</v>
      </c>
      <c r="V68">
        <f>SUMIFS(Tabla_Registro_de_movimientos_app.accdb[Importe_Gasto],Tabla_Registro_de_movimientos_app.accdb[Sucursal],Sucursal!V$5,Tabla_Registro_de_movimientos_app.accdb[Detalle de movimiento],Sucursal!$A68,Tabla_Registro_de_movimientos_app.accdb[Fecha],"&gt;"&amp;Sucursal!$B$4,Tabla_Registro_de_movimientos_app.accdb[Fecha],"&lt;="&amp;Sucursal!$C$4)</f>
        <v>0</v>
      </c>
      <c r="W68" s="187" t="e">
        <f t="shared" si="149"/>
        <v>#DIV/0!</v>
      </c>
      <c r="X68" s="115">
        <f>SUMIFS(Tabla_Registro_de_movimientos_app.accdb[Importe_Gasto],Tabla_Registro_de_movimientos_app.accdb[Sucursal],Sucursal!X$5,Tabla_Registro_de_movimientos_app.accdb[Detalle de movimiento],Sucursal!$A68,Tabla_Registro_de_movimientos_app.accdb[Fecha],"&gt;"&amp;Sucursal!$B$4,Tabla_Registro_de_movimientos_app.accdb[Fecha],"&lt;="&amp;Sucursal!$C$4)</f>
        <v>0</v>
      </c>
      <c r="Y68" s="187" t="e">
        <f t="shared" si="150"/>
        <v>#DIV/0!</v>
      </c>
      <c r="Z68" s="115">
        <f>SUMIFS(Tabla_Registro_de_movimientos_app.accdb[Importe_Gasto],Tabla_Registro_de_movimientos_app.accdb[Sucursal],Sucursal!Z$5,Tabla_Registro_de_movimientos_app.accdb[Detalle de movimiento],Sucursal!$A68,Tabla_Registro_de_movimientos_app.accdb[Fecha],"&gt;"&amp;Sucursal!$B$4,Tabla_Registro_de_movimientos_app.accdb[Fecha],"&lt;="&amp;Sucursal!$C$4)</f>
        <v>0</v>
      </c>
      <c r="AA68" s="187" t="e">
        <f t="shared" si="151"/>
        <v>#DIV/0!</v>
      </c>
      <c r="AB68">
        <f>SUMIFS(Tabla_Registro_de_movimientos_app.accdb[Importe_Gasto],Tabla_Registro_de_movimientos_app.accdb[Sucursal],Sucursal!AB$5,Tabla_Registro_de_movimientos_app.accdb[Detalle de movimiento],Sucursal!$A68,Tabla_Registro_de_movimientos_app.accdb[Fecha],"&gt;"&amp;Sucursal!$B$4,Tabla_Registro_de_movimientos_app.accdb[Fecha],"&lt;="&amp;Sucursal!$C$4)</f>
        <v>0</v>
      </c>
      <c r="AC68" s="187" t="e">
        <f t="shared" si="152"/>
        <v>#DIV/0!</v>
      </c>
      <c r="AD68" s="115">
        <f>SUMIFS(Tabla_Registro_de_movimientos_app.accdb[Importe_Gasto],Tabla_Registro_de_movimientos_app.accdb[Sucursal],Sucursal!AD$5,Tabla_Registro_de_movimientos_app.accdb[Detalle de movimiento],Sucursal!$A68,Tabla_Registro_de_movimientos_app.accdb[Fecha],"&gt;"&amp;Sucursal!$B$4,Tabla_Registro_de_movimientos_app.accdb[Fecha],"&lt;="&amp;Sucursal!$C$4)</f>
        <v>0</v>
      </c>
      <c r="AE68" s="187" t="e">
        <f t="shared" si="153"/>
        <v>#DIV/0!</v>
      </c>
      <c r="AF68" s="115">
        <f>SUMIFS(Tabla_Registro_de_movimientos_app.accdb[Importe_Gasto],Tabla_Registro_de_movimientos_app.accdb[Sucursal],Sucursal!AF$5,Tabla_Registro_de_movimientos_app.accdb[Detalle de movimiento],Sucursal!$A68,Tabla_Registro_de_movimientos_app.accdb[Fecha],"&gt;"&amp;Sucursal!$B$4,Tabla_Registro_de_movimientos_app.accdb[Fecha],"&lt;="&amp;Sucursal!$C$4)</f>
        <v>0</v>
      </c>
      <c r="AG68" s="187" t="e">
        <f t="shared" si="154"/>
        <v>#DIV/0!</v>
      </c>
      <c r="AH68">
        <f>SUMIFS(Tabla_Registro_de_movimientos_app.accdb[Importe_Gasto],Tabla_Registro_de_movimientos_app.accdb[Sucursal],Sucursal!AH$5,Tabla_Registro_de_movimientos_app.accdb[Detalle de movimiento],Sucursal!$A68,Tabla_Registro_de_movimientos_app.accdb[Fecha],"&gt;"&amp;Sucursal!$B$4,Tabla_Registro_de_movimientos_app.accdb[Fecha],"&lt;="&amp;Sucursal!$C$4)</f>
        <v>0</v>
      </c>
      <c r="AI68" s="187" t="e">
        <f t="shared" si="155"/>
        <v>#DIV/0!</v>
      </c>
      <c r="AJ68">
        <f>SUMIFS(Tabla_Registro_de_movimientos_app.accdb[Importe_Gasto],Tabla_Registro_de_movimientos_app.accdb[Sucursal],Sucursal!AJ$5,Tabla_Registro_de_movimientos_app.accdb[Detalle de movimiento],Sucursal!$A68,Tabla_Registro_de_movimientos_app.accdb[Fecha],"&gt;"&amp;Sucursal!$B$4,Tabla_Registro_de_movimientos_app.accdb[Fecha],"&lt;="&amp;Sucursal!$C$4)</f>
        <v>0</v>
      </c>
      <c r="AK68" s="187" t="e">
        <f t="shared" si="156"/>
        <v>#DIV/0!</v>
      </c>
      <c r="AM68" s="188">
        <f t="shared" si="157"/>
        <v>0</v>
      </c>
      <c r="AN68" s="189" t="e">
        <f t="shared" si="158"/>
        <v>#DIV/0!</v>
      </c>
    </row>
    <row r="69" spans="1:40" ht="15.75" thickBot="1" x14ac:dyDescent="0.3">
      <c r="A69" s="8" t="s">
        <v>75</v>
      </c>
      <c r="B69" s="8">
        <f>SUM(B56:B68)</f>
        <v>0</v>
      </c>
      <c r="C69" s="208" t="e">
        <f>+B69/B13</f>
        <v>#DIV/0!</v>
      </c>
      <c r="D69" s="8">
        <f>SUM(D56:D68)</f>
        <v>0</v>
      </c>
      <c r="E69" s="8"/>
      <c r="F69" s="208">
        <f>SUM(F56:F68)</f>
        <v>0</v>
      </c>
      <c r="G69" s="8"/>
      <c r="H69" s="208">
        <f>SUM(H56:H68)</f>
        <v>0</v>
      </c>
      <c r="I69" s="8"/>
      <c r="J69" s="8">
        <f>SUM(J56:J68)</f>
        <v>0</v>
      </c>
      <c r="K69" s="8"/>
      <c r="L69" s="208">
        <f>SUM(L56:L68)</f>
        <v>0</v>
      </c>
      <c r="M69" s="8"/>
      <c r="N69" s="8">
        <f>SUM(N56:N68)</f>
        <v>0</v>
      </c>
      <c r="O69" s="8"/>
      <c r="P69" s="8">
        <f>SUM(P56:P68)</f>
        <v>0</v>
      </c>
      <c r="Q69" s="8"/>
      <c r="R69" s="8">
        <f>SUM(R56:R68)</f>
        <v>0</v>
      </c>
      <c r="S69" s="8"/>
      <c r="T69" s="8">
        <f>SUM(T56:T68)</f>
        <v>0</v>
      </c>
      <c r="U69" s="8"/>
      <c r="V69" s="8">
        <f>SUM(V56:V68)</f>
        <v>0</v>
      </c>
      <c r="W69" s="8"/>
      <c r="X69" s="8">
        <f>SUM(X56:X68)</f>
        <v>0</v>
      </c>
      <c r="Y69" s="8"/>
      <c r="Z69" s="8">
        <f>SUM(Z56:Z68)</f>
        <v>0</v>
      </c>
      <c r="AA69" s="8"/>
      <c r="AB69" s="8">
        <f>SUM(AB56:AB68)</f>
        <v>0</v>
      </c>
      <c r="AC69" s="8"/>
      <c r="AD69" s="8">
        <f>SUM(AD56:AD68)</f>
        <v>0</v>
      </c>
      <c r="AE69" s="8"/>
      <c r="AF69" s="8">
        <f>SUM(AF56:AF68)</f>
        <v>0</v>
      </c>
      <c r="AG69" s="8"/>
      <c r="AH69" s="8">
        <f>SUM(AH56:AH68)</f>
        <v>0</v>
      </c>
      <c r="AI69" s="8"/>
      <c r="AJ69" s="8">
        <f>SUM(AJ56:AJ68)</f>
        <v>0</v>
      </c>
      <c r="AK69" s="8"/>
      <c r="AM69" s="201">
        <f>SUM(AM56:AM68)</f>
        <v>0</v>
      </c>
      <c r="AN69" s="197">
        <f>AM69/AM13</f>
        <v>0</v>
      </c>
    </row>
    <row r="70" spans="1:40" ht="15.75" thickTop="1" x14ac:dyDescent="0.25"/>
    <row r="71" spans="1:40" x14ac:dyDescent="0.25">
      <c r="A71" t="s">
        <v>76</v>
      </c>
      <c r="B71" s="6">
        <f>B26-B33-B53-B69</f>
        <v>0</v>
      </c>
      <c r="C71" s="10" t="e">
        <f>+B71/B13</f>
        <v>#DIV/0!</v>
      </c>
      <c r="D71" s="6">
        <f>D26-D33-D53-D69</f>
        <v>0</v>
      </c>
      <c r="F71" s="6">
        <f>F26-F33-F53-F69</f>
        <v>0</v>
      </c>
      <c r="H71" s="6">
        <f>H26-H33-H53-H69</f>
        <v>0</v>
      </c>
      <c r="J71" s="6">
        <f>J26-J33-J53-J69</f>
        <v>0</v>
      </c>
      <c r="L71" s="6">
        <f>L26-L33-L53-L69</f>
        <v>0</v>
      </c>
      <c r="N71" s="6">
        <f>N26-N33-N53-N69</f>
        <v>0</v>
      </c>
      <c r="P71" s="6">
        <f>P26-P33-P53-P69</f>
        <v>1500</v>
      </c>
      <c r="R71" s="6">
        <f>R26-R33-R53-R69</f>
        <v>0</v>
      </c>
      <c r="T71" s="6">
        <f>T26-T33-T53-T69</f>
        <v>0</v>
      </c>
      <c r="V71" s="6">
        <f>V26-V33-V53-V69</f>
        <v>0</v>
      </c>
      <c r="X71" s="6">
        <f>X26-X33-X53-X69</f>
        <v>0</v>
      </c>
      <c r="Z71" s="6">
        <f>Z26-Z33-Z53-Z69</f>
        <v>0</v>
      </c>
      <c r="AB71" s="6">
        <f>AB26-AB33-AB53-AB69</f>
        <v>0</v>
      </c>
      <c r="AD71" s="6">
        <f>AD26-AD33-AD53-AD69</f>
        <v>0</v>
      </c>
      <c r="AF71" s="6">
        <f>AF26-AF33-AF53-AF69</f>
        <v>0</v>
      </c>
      <c r="AH71" s="6">
        <f>AH26-AH33-AH53-AH69</f>
        <v>0</v>
      </c>
      <c r="AJ71" s="6">
        <f>AJ26-AJ33-AJ53-AJ69</f>
        <v>0</v>
      </c>
      <c r="AM71" s="203">
        <f>SUM(B71,D71,F71,H71,J71,L71,N71,P71,R71,T71,V71,X71,Z71,AB71,AD71,AF71,AH71,AJ71)</f>
        <v>1500</v>
      </c>
      <c r="AN71" s="197">
        <f>AM71/AM13</f>
        <v>1</v>
      </c>
    </row>
    <row r="74" spans="1:40" x14ac:dyDescent="0.25">
      <c r="A74" t="s">
        <v>77</v>
      </c>
      <c r="B74" s="115" t="e">
        <f>Matriz!$C$49*Sucursal!C13</f>
        <v>#DIV/0!</v>
      </c>
      <c r="C74" s="213" t="e">
        <f>B74/B$13</f>
        <v>#DIV/0!</v>
      </c>
      <c r="D74" s="115" t="e">
        <f>Matriz!$C$49*Sucursal!E13</f>
        <v>#DIV/0!</v>
      </c>
      <c r="E74" s="213" t="e">
        <f>D74/D$13</f>
        <v>#DIV/0!</v>
      </c>
      <c r="F74" s="115" t="e">
        <f>Matriz!$C$49*Sucursal!G13</f>
        <v>#DIV/0!</v>
      </c>
      <c r="G74" s="213" t="e">
        <f>F74/F$13</f>
        <v>#DIV/0!</v>
      </c>
      <c r="H74" s="115" t="e">
        <f>Matriz!$C$49*Sucursal!I13</f>
        <v>#DIV/0!</v>
      </c>
      <c r="I74" s="213" t="e">
        <f>H74/H$13</f>
        <v>#DIV/0!</v>
      </c>
      <c r="J74" s="115" t="e">
        <f>Matriz!$C$49*Sucursal!K13</f>
        <v>#DIV/0!</v>
      </c>
      <c r="K74" s="213" t="e">
        <f>J74/J$13</f>
        <v>#DIV/0!</v>
      </c>
      <c r="L74" s="115" t="e">
        <f>Matriz!$C$49*Sucursal!M13</f>
        <v>#DIV/0!</v>
      </c>
      <c r="M74" s="213" t="e">
        <f>L74/L$13</f>
        <v>#DIV/0!</v>
      </c>
      <c r="N74" s="115" t="e">
        <f>Matriz!$C$49*Sucursal!O13</f>
        <v>#DIV/0!</v>
      </c>
      <c r="O74" s="213" t="e">
        <f>N74/N$13</f>
        <v>#DIV/0!</v>
      </c>
      <c r="P74" s="115" t="e">
        <f>Matriz!$C$49*Sucursal!Q13</f>
        <v>#DIV/0!</v>
      </c>
      <c r="Q74" s="213" t="e">
        <f>P74/P$13</f>
        <v>#DIV/0!</v>
      </c>
      <c r="R74" s="115" t="e">
        <f>Matriz!$C$49*Sucursal!S13</f>
        <v>#DIV/0!</v>
      </c>
      <c r="S74" s="213" t="e">
        <f>R74/R$13</f>
        <v>#DIV/0!</v>
      </c>
      <c r="T74" s="115" t="e">
        <f>Matriz!$C$49*Sucursal!U13</f>
        <v>#DIV/0!</v>
      </c>
      <c r="U74" s="213" t="e">
        <f>T74/T$13</f>
        <v>#DIV/0!</v>
      </c>
      <c r="V74" s="115" t="e">
        <f>Matriz!$C$49*Sucursal!W13</f>
        <v>#DIV/0!</v>
      </c>
      <c r="W74" s="213" t="e">
        <f>V74/V$13</f>
        <v>#DIV/0!</v>
      </c>
      <c r="X74" s="115" t="e">
        <f>Matriz!$C$49*Sucursal!Y13</f>
        <v>#DIV/0!</v>
      </c>
      <c r="Y74" s="213" t="e">
        <f>X74/X$13</f>
        <v>#DIV/0!</v>
      </c>
      <c r="Z74" s="115" t="e">
        <f>Matriz!$C$49*Sucursal!AA13</f>
        <v>#DIV/0!</v>
      </c>
      <c r="AA74" s="213" t="e">
        <f>Z74/Z$13</f>
        <v>#DIV/0!</v>
      </c>
      <c r="AB74" s="115" t="e">
        <f>Matriz!$C$49*Sucursal!AC13</f>
        <v>#DIV/0!</v>
      </c>
      <c r="AC74" s="213" t="e">
        <f>AB74/AB$13</f>
        <v>#DIV/0!</v>
      </c>
      <c r="AD74" s="115" t="e">
        <f>Matriz!$C$49*Sucursal!AE13</f>
        <v>#DIV/0!</v>
      </c>
      <c r="AE74" s="213" t="e">
        <f>AD74/AD$13</f>
        <v>#DIV/0!</v>
      </c>
      <c r="AF74" s="115" t="e">
        <f>Matriz!$C$49*Sucursal!AG13</f>
        <v>#DIV/0!</v>
      </c>
      <c r="AG74" s="213" t="e">
        <f>AF74/AF$13</f>
        <v>#DIV/0!</v>
      </c>
      <c r="AH74" s="204" t="e">
        <f>Matriz!$C$49*Sucursal!AI13</f>
        <v>#DIV/0!</v>
      </c>
      <c r="AI74" s="194" t="e">
        <f>AH74/AH$13</f>
        <v>#DIV/0!</v>
      </c>
      <c r="AJ74" s="204" t="e">
        <f>Matriz!$C$49*Sucursal!AK13</f>
        <v>#DIV/0!</v>
      </c>
      <c r="AK74" s="194" t="e">
        <f>AJ74/AJ$13</f>
        <v>#DIV/0!</v>
      </c>
      <c r="AM74" s="188" t="e">
        <f>SUM(B74,D74,F74,H74,J74,L74,N74,P74,R74,T74,V74,X74,Z74,AB74,AD74,AF74,AH74,AJ74)</f>
        <v>#DIV/0!</v>
      </c>
      <c r="AN74" s="206" t="e">
        <f>AM74/$AM$76</f>
        <v>#DIV/0!</v>
      </c>
    </row>
    <row r="75" spans="1:40" x14ac:dyDescent="0.25">
      <c r="A75" t="s">
        <v>78</v>
      </c>
      <c r="C75" s="10" t="e">
        <f>B75/$B$13</f>
        <v>#DIV/0!</v>
      </c>
      <c r="E75" s="10" t="e">
        <f>D75/D$13</f>
        <v>#DIV/0!</v>
      </c>
      <c r="G75" s="10" t="e">
        <f>F75/F$13</f>
        <v>#DIV/0!</v>
      </c>
      <c r="I75" s="10" t="e">
        <f>H75/H$13</f>
        <v>#DIV/0!</v>
      </c>
      <c r="K75" s="10" t="e">
        <f>J75/J$13</f>
        <v>#DIV/0!</v>
      </c>
      <c r="M75" s="10" t="e">
        <f>L75/L$13</f>
        <v>#DIV/0!</v>
      </c>
      <c r="O75" s="10" t="e">
        <f>N75/N$13</f>
        <v>#DIV/0!</v>
      </c>
      <c r="Q75" s="10">
        <f>P75/P$13</f>
        <v>0</v>
      </c>
      <c r="S75" s="10" t="e">
        <f>R75/R$13</f>
        <v>#DIV/0!</v>
      </c>
      <c r="U75" s="10" t="e">
        <f>T75/T$13</f>
        <v>#DIV/0!</v>
      </c>
      <c r="W75" s="10" t="e">
        <f>V75/V$13</f>
        <v>#DIV/0!</v>
      </c>
      <c r="Y75" s="10" t="e">
        <f>X75/X$13</f>
        <v>#DIV/0!</v>
      </c>
      <c r="AA75" s="10" t="e">
        <f>Z75/Z$13</f>
        <v>#DIV/0!</v>
      </c>
      <c r="AC75" s="10" t="e">
        <f>AB75/AB$13</f>
        <v>#DIV/0!</v>
      </c>
      <c r="AE75" s="10" t="e">
        <f>AD75/AD$13</f>
        <v>#DIV/0!</v>
      </c>
      <c r="AG75" s="10" t="e">
        <f>AF75/AF$13</f>
        <v>#DIV/0!</v>
      </c>
      <c r="AI75" s="194" t="e">
        <f>AH75/AH$13</f>
        <v>#DIV/0!</v>
      </c>
      <c r="AK75" s="194" t="e">
        <f>AJ75/AJ$13</f>
        <v>#DIV/0!</v>
      </c>
      <c r="AM75" s="188">
        <f>SUM(B75,D75,F75,H75,J75,L75,N75,P75,R75,T75,V75,X75,Z75,AB75,AD75,AF75,AH75,AJ75)</f>
        <v>0</v>
      </c>
      <c r="AN75" s="206" t="e">
        <f>AM75/$AM$76</f>
        <v>#DIV/0!</v>
      </c>
    </row>
    <row r="76" spans="1:40" x14ac:dyDescent="0.25">
      <c r="A76" t="s">
        <v>79</v>
      </c>
      <c r="B76" s="115" t="e">
        <f>SUM(B74:B75)</f>
        <v>#DIV/0!</v>
      </c>
      <c r="D76" s="115" t="e">
        <f>SUM(D74:D75)</f>
        <v>#DIV/0!</v>
      </c>
      <c r="F76" s="115" t="e">
        <f>SUM(F74:F75)</f>
        <v>#DIV/0!</v>
      </c>
      <c r="H76" s="115" t="e">
        <f>SUM(H74:H75)</f>
        <v>#DIV/0!</v>
      </c>
      <c r="J76" s="115" t="e">
        <f>SUM(J74:J75)</f>
        <v>#DIV/0!</v>
      </c>
      <c r="L76" s="115" t="e">
        <f>SUM(L74:L75)</f>
        <v>#DIV/0!</v>
      </c>
      <c r="N76" s="115" t="e">
        <f>SUM(N74:N75)</f>
        <v>#DIV/0!</v>
      </c>
      <c r="P76" s="115" t="e">
        <f>SUM(P74:P75)</f>
        <v>#DIV/0!</v>
      </c>
      <c r="R76" s="115" t="e">
        <f>SUM(R74:R75)</f>
        <v>#DIV/0!</v>
      </c>
      <c r="T76" s="115" t="e">
        <f>SUM(T74:T75)</f>
        <v>#DIV/0!</v>
      </c>
      <c r="V76" s="115" t="e">
        <f>SUM(V74:V75)</f>
        <v>#DIV/0!</v>
      </c>
      <c r="X76" s="115" t="e">
        <f>SUM(X74:X75)</f>
        <v>#DIV/0!</v>
      </c>
      <c r="Z76" s="115" t="e">
        <f>SUM(Z74:Z75)</f>
        <v>#DIV/0!</v>
      </c>
      <c r="AB76" s="115" t="e">
        <f>SUM(AB74:AB75)</f>
        <v>#DIV/0!</v>
      </c>
      <c r="AD76" s="115" t="e">
        <f>SUM(AD74:AD75)</f>
        <v>#DIV/0!</v>
      </c>
      <c r="AF76" s="115" t="e">
        <f>SUM(AF74:AF75)</f>
        <v>#DIV/0!</v>
      </c>
      <c r="AH76" s="204" t="e">
        <f>SUM(AH74:AH75)</f>
        <v>#DIV/0!</v>
      </c>
      <c r="AJ76" s="204" t="e">
        <f>SUM(AJ74:AJ75)</f>
        <v>#DIV/0!</v>
      </c>
      <c r="AM76" s="201" t="e">
        <f>SUM(AM74:AM75)</f>
        <v>#DIV/0!</v>
      </c>
      <c r="AN76" s="197" t="e">
        <f>AM76/AM13</f>
        <v>#DIV/0!</v>
      </c>
    </row>
    <row r="78" spans="1:40" x14ac:dyDescent="0.25">
      <c r="A78" t="s">
        <v>80</v>
      </c>
      <c r="B78" s="168" t="e">
        <f>+B71-B76</f>
        <v>#DIV/0!</v>
      </c>
      <c r="D78" s="168" t="e">
        <f>+D71-D76</f>
        <v>#DIV/0!</v>
      </c>
      <c r="F78" s="168" t="e">
        <f>+F71-F76</f>
        <v>#DIV/0!</v>
      </c>
      <c r="H78" s="168" t="e">
        <f>+H71-H76</f>
        <v>#DIV/0!</v>
      </c>
      <c r="J78" s="168" t="e">
        <f>+J71-J76</f>
        <v>#DIV/0!</v>
      </c>
      <c r="L78" s="168" t="e">
        <f>+L71-L76</f>
        <v>#DIV/0!</v>
      </c>
      <c r="N78" s="168" t="e">
        <f>+N71-N76</f>
        <v>#DIV/0!</v>
      </c>
      <c r="P78" s="168" t="e">
        <f>+P71-P76</f>
        <v>#DIV/0!</v>
      </c>
      <c r="R78" s="168" t="e">
        <f>+R71-R76</f>
        <v>#DIV/0!</v>
      </c>
      <c r="T78" s="168" t="e">
        <f>+T71-T76</f>
        <v>#DIV/0!</v>
      </c>
      <c r="V78" s="168" t="e">
        <f>+V71-V76</f>
        <v>#DIV/0!</v>
      </c>
      <c r="X78" s="168" t="e">
        <f>+X71-X76</f>
        <v>#DIV/0!</v>
      </c>
      <c r="Z78" s="168" t="e">
        <f>+Z71-Z76</f>
        <v>#DIV/0!</v>
      </c>
      <c r="AB78" s="168" t="e">
        <f>+AB71-AB76</f>
        <v>#DIV/0!</v>
      </c>
      <c r="AD78" s="168" t="e">
        <f>+AD71-AD76</f>
        <v>#DIV/0!</v>
      </c>
      <c r="AF78" s="168" t="e">
        <f>+AF71-AF76</f>
        <v>#DIV/0!</v>
      </c>
      <c r="AH78" s="168" t="e">
        <f>+AH71-AH76</f>
        <v>#DIV/0!</v>
      </c>
      <c r="AJ78" s="168" t="e">
        <f>+AJ71-AJ76</f>
        <v>#DIV/0!</v>
      </c>
      <c r="AM78" s="203" t="e">
        <f>SUM(B78,D78,F78,H78,J78,L78,N78,P78,R78,T78,V78,X78,Z78,AB78,AD78,AF78,AH78,AJ78)</f>
        <v>#DIV/0!</v>
      </c>
      <c r="AN78" s="197" t="e">
        <f>AM78/AM13</f>
        <v>#DIV/0!</v>
      </c>
    </row>
    <row r="80" spans="1:40" x14ac:dyDescent="0.25">
      <c r="A80" t="s">
        <v>81</v>
      </c>
    </row>
    <row r="81" spans="1:40" x14ac:dyDescent="0.25">
      <c r="AM81" s="188">
        <f t="shared" ref="AM81:AM87" si="170">SUM(B81,D81,F81,H81,J81,L81,N81,P81,R81,T81,V81,X81,Z81,)</f>
        <v>0</v>
      </c>
    </row>
    <row r="82" spans="1:40" x14ac:dyDescent="0.25">
      <c r="AM82" s="188">
        <f t="shared" si="170"/>
        <v>0</v>
      </c>
    </row>
    <row r="83" spans="1:40" x14ac:dyDescent="0.25">
      <c r="AM83" s="188">
        <f t="shared" si="170"/>
        <v>0</v>
      </c>
    </row>
    <row r="84" spans="1:40" x14ac:dyDescent="0.25">
      <c r="AM84" s="188">
        <f t="shared" si="170"/>
        <v>0</v>
      </c>
    </row>
    <row r="85" spans="1:40" x14ac:dyDescent="0.25">
      <c r="AM85" s="188">
        <f t="shared" si="170"/>
        <v>0</v>
      </c>
    </row>
    <row r="86" spans="1:40" x14ac:dyDescent="0.25">
      <c r="AM86" s="188">
        <f t="shared" si="170"/>
        <v>0</v>
      </c>
    </row>
    <row r="87" spans="1:40" x14ac:dyDescent="0.25">
      <c r="AM87" s="188">
        <f t="shared" si="170"/>
        <v>0</v>
      </c>
    </row>
    <row r="88" spans="1:40" x14ac:dyDescent="0.25">
      <c r="A88" t="s">
        <v>82</v>
      </c>
      <c r="AM88" s="201">
        <f>SUM(AM81:AM87)</f>
        <v>0</v>
      </c>
      <c r="AN88" s="205"/>
    </row>
  </sheetData>
  <mergeCells count="19">
    <mergeCell ref="X5:Y5"/>
    <mergeCell ref="Z5:AA5"/>
    <mergeCell ref="AM4:AN5"/>
    <mergeCell ref="F5:G5"/>
    <mergeCell ref="H5:I5"/>
    <mergeCell ref="J5:K5"/>
    <mergeCell ref="L5:M5"/>
    <mergeCell ref="N5:O5"/>
    <mergeCell ref="P5:Q5"/>
    <mergeCell ref="AB5:AC5"/>
    <mergeCell ref="AD5:AE5"/>
    <mergeCell ref="AF5:AG5"/>
    <mergeCell ref="AH5:AI5"/>
    <mergeCell ref="AJ5:AK5"/>
    <mergeCell ref="D5:E5"/>
    <mergeCell ref="B5:C5"/>
    <mergeCell ref="R5:S5"/>
    <mergeCell ref="T5:U5"/>
    <mergeCell ref="V5:W5"/>
  </mergeCells>
  <pageMargins left="0.7" right="0.7" top="0.75" bottom="0.75" header="0.3" footer="0.3"/>
  <pageSetup orientation="portrait" r:id="rId1"/>
  <ignoredErrors>
    <ignoredError sqref="D8 F20:F23 H20:H23 L20:L23 H33:AA35 C26:H26 J26 P26 H29:H32 J29:J32 L29:L32 T29:T32 H54:AA55 J36:J53 T36:T53 J56:J68 N56:N68" formula="1"/>
    <ignoredError sqref="E20:E23 G20:G23 AA26 E53:G53 E36:E52 G36:G52 E56:E68 G56:G68" evalError="1"/>
    <ignoredError sqref="I20:K23 M20:T23 U20:AA23 I26 Q26:U26 V26:Z26 K26:O26 I29:I32 K29:K32 M29:S32 U29:AA32 H36:I53 K36:S52 U36:AA53 F36:F52 H56:I68 K56:M68 O56:AA68 F56:F68 K53 M53:S53" evalError="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98904-EA09-4173-97F7-FA08C8C52204}">
  <sheetPr codeName="Hoja14"/>
  <dimension ref="A1:AN88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3" sqref="L3"/>
    </sheetView>
  </sheetViews>
  <sheetFormatPr baseColWidth="10" defaultRowHeight="15" x14ac:dyDescent="0.25"/>
  <cols>
    <col min="1" max="1" width="48" bestFit="1" customWidth="1"/>
    <col min="2" max="2" width="12.28515625" bestFit="1" customWidth="1"/>
    <col min="4" max="5" width="0" hidden="1" customWidth="1"/>
    <col min="7" max="7" width="15.28515625" customWidth="1"/>
    <col min="8" max="8" width="14.5703125" hidden="1" customWidth="1"/>
    <col min="9" max="9" width="12.28515625" hidden="1" customWidth="1"/>
    <col min="10" max="10" width="13.5703125" hidden="1" customWidth="1"/>
    <col min="11" max="11" width="0" hidden="1" customWidth="1"/>
    <col min="14" max="14" width="13.7109375" customWidth="1"/>
    <col min="16" max="16" width="14.42578125" customWidth="1"/>
    <col min="22" max="23" width="0" hidden="1" customWidth="1"/>
    <col min="28" max="28" width="14.42578125" hidden="1" customWidth="1"/>
    <col min="29" max="29" width="0" hidden="1" customWidth="1"/>
    <col min="32" max="32" width="14.5703125" customWidth="1"/>
    <col min="34" max="34" width="14.5703125" hidden="1" customWidth="1"/>
    <col min="35" max="35" width="0" hidden="1" customWidth="1"/>
    <col min="36" max="36" width="14.5703125" hidden="1" customWidth="1"/>
    <col min="37" max="37" width="0" hidden="1" customWidth="1"/>
    <col min="39" max="39" width="17" customWidth="1"/>
  </cols>
  <sheetData>
    <row r="1" spans="1:40" x14ac:dyDescent="0.25">
      <c r="A1" t="s">
        <v>31</v>
      </c>
    </row>
    <row r="2" spans="1:40" x14ac:dyDescent="0.25">
      <c r="A2" t="s">
        <v>32</v>
      </c>
    </row>
    <row r="3" spans="1:40" x14ac:dyDescent="0.25">
      <c r="A3" t="s">
        <v>33</v>
      </c>
    </row>
    <row r="4" spans="1:40" x14ac:dyDescent="0.25">
      <c r="B4" s="183">
        <v>45070</v>
      </c>
      <c r="C4" s="183">
        <v>45077</v>
      </c>
      <c r="D4" s="184"/>
      <c r="E4" s="185"/>
      <c r="F4" s="184"/>
      <c r="G4" s="185"/>
      <c r="H4" s="184"/>
      <c r="I4" s="185"/>
      <c r="J4" s="184"/>
      <c r="K4" s="185"/>
      <c r="L4" s="184"/>
      <c r="M4" s="185"/>
      <c r="N4" s="184"/>
      <c r="O4" s="185"/>
      <c r="P4" s="184"/>
      <c r="Q4" s="185"/>
      <c r="R4" s="184"/>
      <c r="S4" s="185"/>
      <c r="T4" s="184"/>
      <c r="U4" s="185"/>
      <c r="V4" s="184"/>
      <c r="W4" s="185"/>
      <c r="X4" s="184"/>
      <c r="Y4" s="185"/>
      <c r="Z4" s="184"/>
      <c r="AA4" s="185"/>
      <c r="AB4" s="185"/>
      <c r="AC4" s="185"/>
      <c r="AD4" s="185"/>
      <c r="AE4" s="185"/>
      <c r="AF4" s="185"/>
      <c r="AG4" s="184"/>
      <c r="AH4" s="185"/>
      <c r="AI4" s="184"/>
      <c r="AJ4" s="185"/>
      <c r="AK4" s="184"/>
      <c r="AL4" s="184"/>
      <c r="AM4" s="217">
        <v>45047</v>
      </c>
      <c r="AN4" s="217"/>
    </row>
    <row r="5" spans="1:40" ht="15.75" thickBot="1" x14ac:dyDescent="0.3">
      <c r="B5" s="216" t="s">
        <v>84</v>
      </c>
      <c r="C5" s="216"/>
      <c r="D5" s="215" t="s">
        <v>34</v>
      </c>
      <c r="E5" s="215"/>
      <c r="F5" s="215" t="s">
        <v>117</v>
      </c>
      <c r="G5" s="215"/>
      <c r="H5" s="215" t="s">
        <v>238</v>
      </c>
      <c r="I5" s="215"/>
      <c r="J5" s="215" t="s">
        <v>122</v>
      </c>
      <c r="K5" s="215"/>
      <c r="L5" s="215" t="s">
        <v>123</v>
      </c>
      <c r="M5" s="215"/>
      <c r="N5" s="215" t="s">
        <v>124</v>
      </c>
      <c r="O5" s="215"/>
      <c r="P5" s="215" t="s">
        <v>83</v>
      </c>
      <c r="Q5" s="215"/>
      <c r="R5" s="215" t="s">
        <v>239</v>
      </c>
      <c r="S5" s="215"/>
      <c r="T5" s="215" t="s">
        <v>125</v>
      </c>
      <c r="U5" s="215"/>
      <c r="V5" s="215" t="s">
        <v>126</v>
      </c>
      <c r="W5" s="215"/>
      <c r="X5" s="215" t="s">
        <v>127</v>
      </c>
      <c r="Y5" s="215"/>
      <c r="Z5" s="215" t="s">
        <v>128</v>
      </c>
      <c r="AA5" s="215"/>
      <c r="AB5" s="215" t="s">
        <v>226</v>
      </c>
      <c r="AC5" s="215"/>
      <c r="AD5" s="215" t="s">
        <v>227</v>
      </c>
      <c r="AE5" s="215"/>
      <c r="AF5" s="215" t="s">
        <v>228</v>
      </c>
      <c r="AG5" s="215"/>
      <c r="AH5" s="215" t="s">
        <v>240</v>
      </c>
      <c r="AI5" s="215"/>
      <c r="AJ5" s="215" t="s">
        <v>241</v>
      </c>
      <c r="AK5" s="215"/>
      <c r="AL5" s="186"/>
      <c r="AM5" s="218"/>
      <c r="AN5" s="218"/>
    </row>
    <row r="6" spans="1:40" ht="15.75" thickTop="1" x14ac:dyDescent="0.25">
      <c r="A6" t="s">
        <v>35</v>
      </c>
      <c r="B6" t="s">
        <v>36</v>
      </c>
      <c r="C6" t="s">
        <v>37</v>
      </c>
      <c r="D6" t="s">
        <v>36</v>
      </c>
      <c r="E6" t="s">
        <v>37</v>
      </c>
    </row>
    <row r="8" spans="1:40" x14ac:dyDescent="0.25">
      <c r="A8" t="s">
        <v>86</v>
      </c>
      <c r="B8" s="6">
        <f>SUMIFS(Tabla_Registro_de_movimientos_app.accdb[Importe_Ingreso],Tabla_Registro_de_movimientos_app.accdb[Sucursal],Sucursal_Semanal!$B$5,Tabla_Registro_de_movimientos_app.accdb[Detalle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C8" s="187">
        <f>IFERROR(B8/B$13,0)</f>
        <v>0</v>
      </c>
      <c r="D8" s="6">
        <f>SUMIFS(Tabla_Registro_de_movimientos_app.accdb[Importe_Ingreso],Tabla_Registro_de_movimientos_app.accdb[Sucursal],Sucursal_Semanal!D$5,Tabla_Registro_de_movimientos_app.accdb[Detalle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E8" s="187" t="e">
        <f>D8/D$13</f>
        <v>#DIV/0!</v>
      </c>
      <c r="F8" s="6">
        <f>SUMIFS(Tabla_Registro_de_movimientos_app.accdb[Importe_Ingreso],Tabla_Registro_de_movimientos_app.accdb[Sucursal],Sucursal_Semanal!F$5,Tabla_Registro_de_movimientos_app.accdb[Detalle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G8" s="187">
        <f>IFERROR(F8/F$13,0)</f>
        <v>0</v>
      </c>
      <c r="H8" s="6">
        <f>SUMIFS(Tabla_Registro_de_movimientos_app.accdb[Importe_Ingreso],Tabla_Registro_de_movimientos_app.accdb[Sucursal],Sucursal_Semanal!H$5,Tabla_Registro_de_movimientos_app.accdb[Detalle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I8" s="187" t="e">
        <f>H8/H$13</f>
        <v>#DIV/0!</v>
      </c>
      <c r="J8" s="6">
        <f>SUMIFS(Tabla_Registro_de_movimientos_app.accdb[Importe_Ingreso],Tabla_Registro_de_movimientos_app.accdb[Sucursal],Sucursal_Semanal!J$5,Tabla_Registro_de_movimientos_app.accdb[Detalle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K8" s="187" t="e">
        <f>J8/J$13</f>
        <v>#DIV/0!</v>
      </c>
      <c r="L8" s="6">
        <f>SUMIFS(Tabla_Registro_de_movimientos_app.accdb[Importe_Ingreso],Tabla_Registro_de_movimientos_app.accdb[Sucursal],Sucursal_Semanal!L$5,Tabla_Registro_de_movimientos_app.accdb[Detalle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M8" s="187">
        <f>IFERROR(L8/L$13,0)</f>
        <v>0</v>
      </c>
      <c r="N8" s="6">
        <f>SUMIFS(Tabla_Registro_de_movimientos_app.accdb[Importe_Ingreso],Tabla_Registro_de_movimientos_app.accdb[Sucursal],Sucursal_Semanal!N$5,Tabla_Registro_de_movimientos_app.accdb[Detalle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O8" s="187" t="e">
        <f>N8/N$13</f>
        <v>#DIV/0!</v>
      </c>
      <c r="P8" s="6">
        <f>SUMIFS(Tabla_Registro_de_movimientos_app.accdb[Importe_Ingreso],Tabla_Registro_de_movimientos_app.accdb[Sucursal],Sucursal_Semanal!P$5,Tabla_Registro_de_movimientos_app.accdb[Detalle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Q8" s="187" t="e">
        <f>P8/P$13</f>
        <v>#DIV/0!</v>
      </c>
      <c r="R8" s="6">
        <f>SUMIFS(Tabla_Registro_de_movimientos_app.accdb[Importe_Ingreso],Tabla_Registro_de_movimientos_app.accdb[Sucursal],Sucursal_Semanal!R$5,Tabla_Registro_de_movimientos_app.accdb[Detalle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S8" s="187" t="e">
        <f>R8/R$13</f>
        <v>#DIV/0!</v>
      </c>
      <c r="T8" s="6">
        <f>SUMIFS(Tabla_Registro_de_movimientos_app.accdb[Importe_Ingreso],Tabla_Registro_de_movimientos_app.accdb[Sucursal],Sucursal_Semanal!T$5,Tabla_Registro_de_movimientos_app.accdb[Detalle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U8" s="187" t="e">
        <f>T8/T$13</f>
        <v>#DIV/0!</v>
      </c>
      <c r="V8" s="6">
        <f>SUMIFS(Tabla_Registro_de_movimientos_app.accdb[Importe_Ingreso],Tabla_Registro_de_movimientos_app.accdb[Sucursal],Sucursal_Semanal!V$5,Tabla_Registro_de_movimientos_app.accdb[Detalle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W8" s="187" t="e">
        <f>V8/V$13</f>
        <v>#DIV/0!</v>
      </c>
      <c r="X8" s="6">
        <f>SUMIFS(Tabla_Registro_de_movimientos_app.accdb[Importe_Ingreso],Tabla_Registro_de_movimientos_app.accdb[Sucursal],Sucursal_Semanal!X$5,Tabla_Registro_de_movimientos_app.accdb[Detalle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Y8" s="187" t="e">
        <f>X8/X$13</f>
        <v>#DIV/0!</v>
      </c>
      <c r="Z8" s="6">
        <f>SUMIFS(Tabla_Registro_de_movimientos_app.accdb[Importe_Ingreso],Tabla_Registro_de_movimientos_app.accdb[Sucursal],Sucursal_Semanal!Z$5,Tabla_Registro_de_movimientos_app.accdb[Detalle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A8" s="187" t="e">
        <f>Z8/Z$13</f>
        <v>#DIV/0!</v>
      </c>
      <c r="AB8" s="6">
        <f>SUMIFS(Tabla_Registro_de_movimientos_app.accdb[Importe_Ingreso],Tabla_Registro_de_movimientos_app.accdb[Sucursal],Sucursal_Semanal!AB$5,Tabla_Registro_de_movimientos_app.accdb[Detalle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C8" s="187" t="e">
        <f>AB8/AB$13</f>
        <v>#DIV/0!</v>
      </c>
      <c r="AD8" s="6">
        <f>SUMIFS(Tabla_Registro_de_movimientos_app.accdb[Importe_Ingreso],Tabla_Registro_de_movimientos_app.accdb[Sucursal],Sucursal_Semanal!AD$5,Tabla_Registro_de_movimientos_app.accdb[Detalle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E8" s="187" t="e">
        <f>AD8/AD$13</f>
        <v>#DIV/0!</v>
      </c>
      <c r="AF8" s="6">
        <f>SUMIFS(Tabla_Registro_de_movimientos_app.accdb[Importe_Ingreso],Tabla_Registro_de_movimientos_app.accdb[Sucursal],Sucursal_Semanal!AF$5,Tabla_Registro_de_movimientos_app.accdb[Detalle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G8" s="187" t="e">
        <f>AF8/AF$13</f>
        <v>#DIV/0!</v>
      </c>
      <c r="AH8" s="6">
        <f>SUMIFS(Tabla_Registro_de_movimientos_app.accdb[Importe_Ingreso],Tabla_Registro_de_movimientos_app.accdb[Sucursal],Sucursal_Semanal!AH$5,Tabla_Registro_de_movimientos_app.accdb[Detalle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I8" s="187" t="e">
        <f>AH8/AH$13</f>
        <v>#DIV/0!</v>
      </c>
      <c r="AJ8" s="6">
        <f>SUMIFS(Tabla_Registro_de_movimientos_app.accdb[Importe_Ingreso],Tabla_Registro_de_movimientos_app.accdb[Sucursal],Sucursal_Semanal!AJ$5,Tabla_Registro_de_movimientos_app.accdb[Detalle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K8" s="187" t="e">
        <f>AJ8/AJ$13</f>
        <v>#DIV/0!</v>
      </c>
      <c r="AM8" s="188">
        <f>SUM(B8,D8,F8,H8,J8,L8,N8,P8,R8,T8,V8,X8,Z8,AB8,AD8,AF8,AH8,AJ8)</f>
        <v>0</v>
      </c>
      <c r="AN8" s="189" t="e">
        <f>AM8/$AM$13</f>
        <v>#DIV/0!</v>
      </c>
    </row>
    <row r="9" spans="1:40" x14ac:dyDescent="0.25">
      <c r="A9" t="s">
        <v>87</v>
      </c>
      <c r="B9" s="6">
        <f>SUMIFS(Tabla_Registro_de_movimientos_app.accdb[Importe_Ingreso],Tabla_Registro_de_movimientos_app.accdb[Sucursal],Sucursal_Semanal!$B$5,Tabla_Registro_de_movimientos_app.accdb[Detalle de movimiento],Sucursal_Semanal!A9,Tabla_Registro_de_movimientos_app.accdb[Fecha],"&gt;"&amp;Sucursal_Semanal!$B$4,Tabla_Registro_de_movimientos_app.accdb[Fecha],"&lt;="&amp;Sucursal_Semanal!$C$4)</f>
        <v>0</v>
      </c>
      <c r="C9" s="187">
        <f t="shared" ref="C9:C12" si="0">IFERROR(B9/B$13,0)</f>
        <v>0</v>
      </c>
      <c r="D9" s="6">
        <f>SUMIFS(Tabla_Registro_de_movimientos_app.accdb[Importe_Ingreso],Tabla_Registro_de_movimientos_app.accdb[Sucursal],Sucursal_Semanal!D$5,Tabla_Registro_de_movimientos_app.accdb[Detalle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E9" s="187" t="e">
        <f>D9/D$13</f>
        <v>#DIV/0!</v>
      </c>
      <c r="F9" s="6">
        <f>SUMIFS(Tabla_Registro_de_movimientos_app.accdb[Importe_Ingreso],Tabla_Registro_de_movimientos_app.accdb[Sucursal],Sucursal_Semanal!F$5,Tabla_Registro_de_movimientos_app.accdb[Detalle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G9" s="187">
        <f t="shared" ref="G9:G12" si="1">IFERROR(F9/F$13,0)</f>
        <v>0</v>
      </c>
      <c r="H9" s="6">
        <f>SUMIFS(Tabla_Registro_de_movimientos_app.accdb[Importe_Ingreso],Tabla_Registro_de_movimientos_app.accdb[Sucursal],Sucursal_Semanal!H$5,Tabla_Registro_de_movimientos_app.accdb[Detalle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I9" s="187" t="e">
        <f>H9/H$13</f>
        <v>#DIV/0!</v>
      </c>
      <c r="J9" s="6">
        <f>SUMIFS(Tabla_Registro_de_movimientos_app.accdb[Importe_Ingreso],Tabla_Registro_de_movimientos_app.accdb[Sucursal],Sucursal_Semanal!J$5,Tabla_Registro_de_movimientos_app.accdb[Detalle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K9" s="187" t="e">
        <f>J9/J$13</f>
        <v>#DIV/0!</v>
      </c>
      <c r="L9" s="6">
        <f>SUMIFS(Tabla_Registro_de_movimientos_app.accdb[Importe_Ingreso],Tabla_Registro_de_movimientos_app.accdb[Sucursal],Sucursal_Semanal!L$5,Tabla_Registro_de_movimientos_app.accdb[Detalle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M9" s="187">
        <f t="shared" ref="M9:M12" si="2">IFERROR(L9/L$13,0)</f>
        <v>0</v>
      </c>
      <c r="N9" s="6">
        <f>SUMIFS(Tabla_Registro_de_movimientos_app.accdb[Importe_Ingreso],Tabla_Registro_de_movimientos_app.accdb[Sucursal],Sucursal_Semanal!N$5,Tabla_Registro_de_movimientos_app.accdb[Detalle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O9" s="187" t="e">
        <f>N9/N$13</f>
        <v>#DIV/0!</v>
      </c>
      <c r="P9" s="6">
        <f>SUMIFS(Tabla_Registro_de_movimientos_app.accdb[Importe_Ingreso],Tabla_Registro_de_movimientos_app.accdb[Sucursal],Sucursal_Semanal!P$5,Tabla_Registro_de_movimientos_app.accdb[Detalle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Q9" s="187" t="e">
        <f>P9/P$13</f>
        <v>#DIV/0!</v>
      </c>
      <c r="R9" s="6">
        <f>SUMIFS(Tabla_Registro_de_movimientos_app.accdb[Importe_Ingreso],Tabla_Registro_de_movimientos_app.accdb[Sucursal],Sucursal_Semanal!R$5,Tabla_Registro_de_movimientos_app.accdb[Detalle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S9" s="187" t="e">
        <f>R9/R$13</f>
        <v>#DIV/0!</v>
      </c>
      <c r="T9" s="6">
        <f>SUMIFS(Tabla_Registro_de_movimientos_app.accdb[Importe_Ingreso],Tabla_Registro_de_movimientos_app.accdb[Sucursal],Sucursal_Semanal!T$5,Tabla_Registro_de_movimientos_app.accdb[Detalle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U9" s="187" t="e">
        <f>T9/T$13</f>
        <v>#DIV/0!</v>
      </c>
      <c r="V9" s="6">
        <f>SUMIFS(Tabla_Registro_de_movimientos_app.accdb[Importe_Ingreso],Tabla_Registro_de_movimientos_app.accdb[Sucursal],Sucursal_Semanal!V$5,Tabla_Registro_de_movimientos_app.accdb[Detalle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W9" s="187" t="e">
        <f>V9/V$13</f>
        <v>#DIV/0!</v>
      </c>
      <c r="X9" s="6">
        <f>SUMIFS(Tabla_Registro_de_movimientos_app.accdb[Importe_Ingreso],Tabla_Registro_de_movimientos_app.accdb[Sucursal],Sucursal_Semanal!X$5,Tabla_Registro_de_movimientos_app.accdb[Detalle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Y9" s="187" t="e">
        <f>X9/X$13</f>
        <v>#DIV/0!</v>
      </c>
      <c r="Z9" s="6">
        <f>SUMIFS(Tabla_Registro_de_movimientos_app.accdb[Importe_Ingreso],Tabla_Registro_de_movimientos_app.accdb[Sucursal],Sucursal_Semanal!Z$5,Tabla_Registro_de_movimientos_app.accdb[Detalle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A9" s="187" t="e">
        <f>Z9/Z$13</f>
        <v>#DIV/0!</v>
      </c>
      <c r="AB9" s="6">
        <f>SUMIFS(Tabla_Registro_de_movimientos_app.accdb[Importe_Ingreso],Tabla_Registro_de_movimientos_app.accdb[Sucursal],Sucursal_Semanal!AB$5,Tabla_Registro_de_movimientos_app.accdb[Detalle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C9" s="187" t="e">
        <f>AB9/AB$13</f>
        <v>#DIV/0!</v>
      </c>
      <c r="AD9" s="6">
        <f>SUMIFS(Tabla_Registro_de_movimientos_app.accdb[Importe_Ingreso],Tabla_Registro_de_movimientos_app.accdb[Sucursal],Sucursal_Semanal!AD$5,Tabla_Registro_de_movimientos_app.accdb[Detalle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E9" s="187" t="e">
        <f>AD9/AD$13</f>
        <v>#DIV/0!</v>
      </c>
      <c r="AF9" s="6">
        <f>SUMIFS(Tabla_Registro_de_movimientos_app.accdb[Importe_Ingreso],Tabla_Registro_de_movimientos_app.accdb[Sucursal],Sucursal_Semanal!AF$5,Tabla_Registro_de_movimientos_app.accdb[Detalle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G9" s="187" t="e">
        <f>AF9/AF$13</f>
        <v>#DIV/0!</v>
      </c>
      <c r="AH9" s="6">
        <f>SUMIFS(Tabla_Registro_de_movimientos_app.accdb[Importe_Ingreso],Tabla_Registro_de_movimientos_app.accdb[Sucursal],Sucursal_Semanal!AH$5,Tabla_Registro_de_movimientos_app.accdb[Detalle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I9" s="187" t="e">
        <f>AH9/AH$13</f>
        <v>#DIV/0!</v>
      </c>
      <c r="AJ9" s="6">
        <f>SUMIFS(Tabla_Registro_de_movimientos_app.accdb[Importe_Ingreso],Tabla_Registro_de_movimientos_app.accdb[Sucursal],Sucursal_Semanal!AJ$5,Tabla_Registro_de_movimientos_app.accdb[Detalle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K9" s="187" t="e">
        <f>AJ9/AJ$13</f>
        <v>#DIV/0!</v>
      </c>
      <c r="AM9" s="188">
        <f t="shared" ref="AM9:AM12" si="3">SUM(B9,D9,F9,H9,J9,L9,N9,P9,R9,T9,V9,X9,Z9,AB9,AD9,AF9,AH9,AJ9)</f>
        <v>0</v>
      </c>
      <c r="AN9" s="189" t="e">
        <f t="shared" ref="AN9:AN12" si="4">AM9/$AM$13</f>
        <v>#DIV/0!</v>
      </c>
    </row>
    <row r="10" spans="1:40" x14ac:dyDescent="0.25">
      <c r="A10" t="s">
        <v>88</v>
      </c>
      <c r="B10" s="6">
        <f>SUMIFS(Tabla_Registro_de_movimientos_app.accdb[Importe_Ingreso],Tabla_Registro_de_movimientos_app.accdb[Sucursal],Sucursal_Semanal!$B$5,Tabla_Registro_de_movimientos_app.accdb[Detalle de movimiento],Sucursal_Semanal!A10,Tabla_Registro_de_movimientos_app.accdb[Fecha],"&gt;"&amp;Sucursal_Semanal!$B$4,Tabla_Registro_de_movimientos_app.accdb[Fecha],"&lt;="&amp;Sucursal_Semanal!$C$4)</f>
        <v>0</v>
      </c>
      <c r="C10" s="187">
        <f t="shared" si="0"/>
        <v>0</v>
      </c>
      <c r="D10" s="6">
        <f>SUMIFS(Tabla_Registro_de_movimientos_app.accdb[Importe_Ingreso],Tabla_Registro_de_movimientos_app.accdb[Sucursal],Sucursal_Semanal!D$5,Tabla_Registro_de_movimientos_app.accdb[Detalle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E10" s="187" t="e">
        <f>D10/D$13</f>
        <v>#DIV/0!</v>
      </c>
      <c r="F10" s="6">
        <f>SUMIFS(Tabla_Registro_de_movimientos_app.accdb[Importe_Ingreso],Tabla_Registro_de_movimientos_app.accdb[Sucursal],Sucursal_Semanal!F$5,Tabla_Registro_de_movimientos_app.accdb[Detalle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G10" s="187">
        <f t="shared" si="1"/>
        <v>0</v>
      </c>
      <c r="H10" s="6">
        <f>SUMIFS(Tabla_Registro_de_movimientos_app.accdb[Importe_Ingreso],Tabla_Registro_de_movimientos_app.accdb[Sucursal],Sucursal_Semanal!H$5,Tabla_Registro_de_movimientos_app.accdb[Detalle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I10" s="187" t="e">
        <f>H10/H$13</f>
        <v>#DIV/0!</v>
      </c>
      <c r="J10" s="6">
        <f>SUMIFS(Tabla_Registro_de_movimientos_app.accdb[Importe_Ingreso],Tabla_Registro_de_movimientos_app.accdb[Sucursal],Sucursal_Semanal!J$5,Tabla_Registro_de_movimientos_app.accdb[Detalle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K10" s="187" t="e">
        <f>J10/J$13</f>
        <v>#DIV/0!</v>
      </c>
      <c r="L10" s="6">
        <f>SUMIFS(Tabla_Registro_de_movimientos_app.accdb[Importe_Ingreso],Tabla_Registro_de_movimientos_app.accdb[Sucursal],Sucursal_Semanal!L$5,Tabla_Registro_de_movimientos_app.accdb[Detalle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M10" s="187">
        <f t="shared" si="2"/>
        <v>0</v>
      </c>
      <c r="N10" s="6">
        <f>SUMIFS(Tabla_Registro_de_movimientos_app.accdb[Importe_Ingreso],Tabla_Registro_de_movimientos_app.accdb[Sucursal],Sucursal_Semanal!N$5,Tabla_Registro_de_movimientos_app.accdb[Detalle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O10" s="187" t="e">
        <f>N10/N$13</f>
        <v>#DIV/0!</v>
      </c>
      <c r="P10" s="6">
        <f>SUMIFS(Tabla_Registro_de_movimientos_app.accdb[Importe_Ingreso],Tabla_Registro_de_movimientos_app.accdb[Sucursal],Sucursal_Semanal!P$5,Tabla_Registro_de_movimientos_app.accdb[Detalle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Q10" s="187" t="e">
        <f>P10/P$13</f>
        <v>#DIV/0!</v>
      </c>
      <c r="R10" s="6">
        <f>SUMIFS(Tabla_Registro_de_movimientos_app.accdb[Importe_Ingreso],Tabla_Registro_de_movimientos_app.accdb[Sucursal],Sucursal_Semanal!R$5,Tabla_Registro_de_movimientos_app.accdb[Detalle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S10" s="187" t="e">
        <f>R10/R$13</f>
        <v>#DIV/0!</v>
      </c>
      <c r="T10" s="6">
        <f>SUMIFS(Tabla_Registro_de_movimientos_app.accdb[Importe_Ingreso],Tabla_Registro_de_movimientos_app.accdb[Sucursal],Sucursal_Semanal!T$5,Tabla_Registro_de_movimientos_app.accdb[Detalle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U10" s="187" t="e">
        <f>T10/T$13</f>
        <v>#DIV/0!</v>
      </c>
      <c r="V10" s="6">
        <f>SUMIFS(Tabla_Registro_de_movimientos_app.accdb[Importe_Ingreso],Tabla_Registro_de_movimientos_app.accdb[Sucursal],Sucursal_Semanal!V$5,Tabla_Registro_de_movimientos_app.accdb[Detalle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W10" s="187" t="e">
        <f>V10/V$13</f>
        <v>#DIV/0!</v>
      </c>
      <c r="X10" s="6">
        <f>SUMIFS(Tabla_Registro_de_movimientos_app.accdb[Importe_Ingreso],Tabla_Registro_de_movimientos_app.accdb[Sucursal],Sucursal_Semanal!X$5,Tabla_Registro_de_movimientos_app.accdb[Detalle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Y10" s="187" t="e">
        <f>X10/X$13</f>
        <v>#DIV/0!</v>
      </c>
      <c r="Z10" s="6">
        <f>SUMIFS(Tabla_Registro_de_movimientos_app.accdb[Importe_Ingreso],Tabla_Registro_de_movimientos_app.accdb[Sucursal],Sucursal_Semanal!Z$5,Tabla_Registro_de_movimientos_app.accdb[Detalle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A10" s="187" t="e">
        <f>Z10/Z$13</f>
        <v>#DIV/0!</v>
      </c>
      <c r="AB10" s="6">
        <f>SUMIFS(Tabla_Registro_de_movimientos_app.accdb[Importe_Ingreso],Tabla_Registro_de_movimientos_app.accdb[Sucursal],Sucursal_Semanal!AB$5,Tabla_Registro_de_movimientos_app.accdb[Detalle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C10" s="187" t="e">
        <f>AB10/AB$13</f>
        <v>#DIV/0!</v>
      </c>
      <c r="AD10" s="6">
        <f>SUMIFS(Tabla_Registro_de_movimientos_app.accdb[Importe_Ingreso],Tabla_Registro_de_movimientos_app.accdb[Sucursal],Sucursal_Semanal!AD$5,Tabla_Registro_de_movimientos_app.accdb[Detalle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E10" s="187" t="e">
        <f>AD10/AD$13</f>
        <v>#DIV/0!</v>
      </c>
      <c r="AF10" s="6">
        <f>SUMIFS(Tabla_Registro_de_movimientos_app.accdb[Importe_Ingreso],Tabla_Registro_de_movimientos_app.accdb[Sucursal],Sucursal_Semanal!AF$5,Tabla_Registro_de_movimientos_app.accdb[Detalle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G10" s="187" t="e">
        <f>AF10/AF$13</f>
        <v>#DIV/0!</v>
      </c>
      <c r="AH10" s="6">
        <f>SUMIFS(Tabla_Registro_de_movimientos_app.accdb[Importe_Ingreso],Tabla_Registro_de_movimientos_app.accdb[Sucursal],Sucursal_Semanal!AH$5,Tabla_Registro_de_movimientos_app.accdb[Detalle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I10" s="187" t="e">
        <f>AH10/AH$13</f>
        <v>#DIV/0!</v>
      </c>
      <c r="AJ10" s="6">
        <f>SUMIFS(Tabla_Registro_de_movimientos_app.accdb[Importe_Ingreso],Tabla_Registro_de_movimientos_app.accdb[Sucursal],Sucursal_Semanal!AJ$5,Tabla_Registro_de_movimientos_app.accdb[Detalle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K10" s="187" t="e">
        <f>AJ10/AJ$13</f>
        <v>#DIV/0!</v>
      </c>
      <c r="AM10" s="188">
        <f t="shared" si="3"/>
        <v>0</v>
      </c>
      <c r="AN10" s="189" t="e">
        <f t="shared" si="4"/>
        <v>#DIV/0!</v>
      </c>
    </row>
    <row r="11" spans="1:40" x14ac:dyDescent="0.25">
      <c r="A11" t="s">
        <v>89</v>
      </c>
      <c r="B11" s="6">
        <f>SUMIFS(Tabla_Registro_de_movimientos_app.accdb[Importe_Ingreso],Tabla_Registro_de_movimientos_app.accdb[Sucursal],Sucursal_Semanal!$B$5,Tabla_Registro_de_movimientos_app.accdb[Detalle de movimiento],Sucursal_Semanal!A11,Tabla_Registro_de_movimientos_app.accdb[Fecha],"&gt;"&amp;Sucursal_Semanal!$B$4,Tabla_Registro_de_movimientos_app.accdb[Fecha],"&lt;="&amp;Sucursal_Semanal!$C$4)</f>
        <v>0</v>
      </c>
      <c r="C11" s="187">
        <f t="shared" si="0"/>
        <v>0</v>
      </c>
      <c r="D11" s="6">
        <f>SUMIFS(Tabla_Registro_de_movimientos_app.accdb[Importe_Ingreso],Tabla_Registro_de_movimientos_app.accdb[Sucursal],Sucursal_Semanal!D$5,Tabla_Registro_de_movimientos_app.accdb[Detalle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E11" s="187" t="e">
        <f>D11/D$13</f>
        <v>#DIV/0!</v>
      </c>
      <c r="F11" s="6">
        <f>SUMIFS(Tabla_Registro_de_movimientos_app.accdb[Importe_Ingreso],Tabla_Registro_de_movimientos_app.accdb[Sucursal],Sucursal_Semanal!F$5,Tabla_Registro_de_movimientos_app.accdb[Detalle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G11" s="187">
        <f t="shared" si="1"/>
        <v>0</v>
      </c>
      <c r="H11" s="6">
        <f>SUMIFS(Tabla_Registro_de_movimientos_app.accdb[Importe_Ingreso],Tabla_Registro_de_movimientos_app.accdb[Sucursal],Sucursal_Semanal!H$5,Tabla_Registro_de_movimientos_app.accdb[Detalle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I11" s="187" t="e">
        <f>H11/H$13</f>
        <v>#DIV/0!</v>
      </c>
      <c r="J11" s="6">
        <f>SUMIFS(Tabla_Registro_de_movimientos_app.accdb[Importe_Ingreso],Tabla_Registro_de_movimientos_app.accdb[Sucursal],Sucursal_Semanal!J$5,Tabla_Registro_de_movimientos_app.accdb[Detalle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K11" s="187" t="e">
        <f>J11/J$13</f>
        <v>#DIV/0!</v>
      </c>
      <c r="L11" s="6">
        <f>SUMIFS(Tabla_Registro_de_movimientos_app.accdb[Importe_Ingreso],Tabla_Registro_de_movimientos_app.accdb[Sucursal],Sucursal_Semanal!L$5,Tabla_Registro_de_movimientos_app.accdb[Detalle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M11" s="187">
        <f t="shared" si="2"/>
        <v>0</v>
      </c>
      <c r="N11" s="6">
        <f>SUMIFS(Tabla_Registro_de_movimientos_app.accdb[Importe_Ingreso],Tabla_Registro_de_movimientos_app.accdb[Sucursal],Sucursal_Semanal!N$5,Tabla_Registro_de_movimientos_app.accdb[Detalle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O11" s="187" t="e">
        <f>N11/N$13</f>
        <v>#DIV/0!</v>
      </c>
      <c r="P11" s="6">
        <f>SUMIFS(Tabla_Registro_de_movimientos_app.accdb[Importe_Ingreso],Tabla_Registro_de_movimientos_app.accdb[Sucursal],Sucursal_Semanal!P$5,Tabla_Registro_de_movimientos_app.accdb[Detalle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Q11" s="187" t="e">
        <f>P11/P$13</f>
        <v>#DIV/0!</v>
      </c>
      <c r="R11" s="6">
        <f>SUMIFS(Tabla_Registro_de_movimientos_app.accdb[Importe_Ingreso],Tabla_Registro_de_movimientos_app.accdb[Sucursal],Sucursal_Semanal!R$5,Tabla_Registro_de_movimientos_app.accdb[Detalle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S11" s="187" t="e">
        <f>R11/R$13</f>
        <v>#DIV/0!</v>
      </c>
      <c r="T11" s="6">
        <f>SUMIFS(Tabla_Registro_de_movimientos_app.accdb[Importe_Ingreso],Tabla_Registro_de_movimientos_app.accdb[Sucursal],Sucursal_Semanal!T$5,Tabla_Registro_de_movimientos_app.accdb[Detalle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U11" s="187" t="e">
        <f>T11/T$13</f>
        <v>#DIV/0!</v>
      </c>
      <c r="V11" s="6">
        <f>SUMIFS(Tabla_Registro_de_movimientos_app.accdb[Importe_Ingreso],Tabla_Registro_de_movimientos_app.accdb[Sucursal],Sucursal_Semanal!V$5,Tabla_Registro_de_movimientos_app.accdb[Detalle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W11" s="187" t="e">
        <f>V11/V$13</f>
        <v>#DIV/0!</v>
      </c>
      <c r="X11" s="6">
        <f>SUMIFS(Tabla_Registro_de_movimientos_app.accdb[Importe_Ingreso],Tabla_Registro_de_movimientos_app.accdb[Sucursal],Sucursal_Semanal!X$5,Tabla_Registro_de_movimientos_app.accdb[Detalle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Y11" s="187" t="e">
        <f>X11/X$13</f>
        <v>#DIV/0!</v>
      </c>
      <c r="Z11" s="6">
        <f>SUMIFS(Tabla_Registro_de_movimientos_app.accdb[Importe_Ingreso],Tabla_Registro_de_movimientos_app.accdb[Sucursal],Sucursal_Semanal!Z$5,Tabla_Registro_de_movimientos_app.accdb[Detalle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A11" s="187" t="e">
        <f>Z11/Z$13</f>
        <v>#DIV/0!</v>
      </c>
      <c r="AB11" s="6">
        <f>SUMIFS(Tabla_Registro_de_movimientos_app.accdb[Importe_Ingreso],Tabla_Registro_de_movimientos_app.accdb[Sucursal],Sucursal_Semanal!AB$5,Tabla_Registro_de_movimientos_app.accdb[Detalle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C11" s="187" t="e">
        <f>AB11/AB$13</f>
        <v>#DIV/0!</v>
      </c>
      <c r="AD11" s="6">
        <f>SUMIFS(Tabla_Registro_de_movimientos_app.accdb[Importe_Ingreso],Tabla_Registro_de_movimientos_app.accdb[Sucursal],Sucursal_Semanal!AD$5,Tabla_Registro_de_movimientos_app.accdb[Detalle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E11" s="187" t="e">
        <f>AD11/AD$13</f>
        <v>#DIV/0!</v>
      </c>
      <c r="AF11" s="6">
        <f>SUMIFS(Tabla_Registro_de_movimientos_app.accdb[Importe_Ingreso],Tabla_Registro_de_movimientos_app.accdb[Sucursal],Sucursal_Semanal!AF$5,Tabla_Registro_de_movimientos_app.accdb[Detalle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G11" s="187" t="e">
        <f>AF11/AF$13</f>
        <v>#DIV/0!</v>
      </c>
      <c r="AH11" s="6">
        <f>SUMIFS(Tabla_Registro_de_movimientos_app.accdb[Importe_Ingreso],Tabla_Registro_de_movimientos_app.accdb[Sucursal],Sucursal_Semanal!AH$5,Tabla_Registro_de_movimientos_app.accdb[Detalle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I11" s="187" t="e">
        <f>AH11/AH$13</f>
        <v>#DIV/0!</v>
      </c>
      <c r="AJ11" s="6">
        <f>SUMIFS(Tabla_Registro_de_movimientos_app.accdb[Importe_Ingreso],Tabla_Registro_de_movimientos_app.accdb[Sucursal],Sucursal_Semanal!AJ$5,Tabla_Registro_de_movimientos_app.accdb[Detalle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K11" s="187" t="e">
        <f>AJ11/AJ$13</f>
        <v>#DIV/0!</v>
      </c>
      <c r="AM11" s="188">
        <f t="shared" si="3"/>
        <v>0</v>
      </c>
      <c r="AN11" s="189" t="e">
        <f t="shared" si="4"/>
        <v>#DIV/0!</v>
      </c>
    </row>
    <row r="12" spans="1:40" x14ac:dyDescent="0.25">
      <c r="A12" t="s">
        <v>90</v>
      </c>
      <c r="B12" s="6">
        <f>SUMIFS(Tabla_Registro_de_movimientos_app.accdb[Importe_Ingreso],Tabla_Registro_de_movimientos_app.accdb[Sucursal],Sucursal_Semanal!$B$5,Tabla_Registro_de_movimientos_app.accdb[Detalle de movimiento],Sucursal_Semanal!A12,Tabla_Registro_de_movimientos_app.accdb[Fecha],"&gt;"&amp;Sucursal_Semanal!$B$4,Tabla_Registro_de_movimientos_app.accdb[Fecha],"&lt;="&amp;Sucursal_Semanal!$C$4)</f>
        <v>0</v>
      </c>
      <c r="C12" s="187">
        <f t="shared" si="0"/>
        <v>0</v>
      </c>
      <c r="D12" s="6">
        <f>SUMIFS(Tabla_Registro_de_movimientos_app.accdb[Importe_Ingreso],Tabla_Registro_de_movimientos_app.accdb[Sucursal],Sucursal_Semanal!D$5,Tabla_Registro_de_movimientos_app.accdb[Detalle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E12" s="187" t="e">
        <f>D12/D$13</f>
        <v>#DIV/0!</v>
      </c>
      <c r="F12" s="6">
        <f>SUMIFS(Tabla_Registro_de_movimientos_app.accdb[Importe_Ingreso],Tabla_Registro_de_movimientos_app.accdb[Sucursal],Sucursal_Semanal!F$5,Tabla_Registro_de_movimientos_app.accdb[Detalle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G12" s="187">
        <f t="shared" si="1"/>
        <v>0</v>
      </c>
      <c r="H12" s="6">
        <f>SUMIFS(Tabla_Registro_de_movimientos_app.accdb[Importe_Ingreso],Tabla_Registro_de_movimientos_app.accdb[Sucursal],Sucursal_Semanal!H$5,Tabla_Registro_de_movimientos_app.accdb[Detalle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I12" s="187" t="e">
        <f>H12/H$13</f>
        <v>#DIV/0!</v>
      </c>
      <c r="J12" s="6">
        <f>SUMIFS(Tabla_Registro_de_movimientos_app.accdb[Importe_Ingreso],Tabla_Registro_de_movimientos_app.accdb[Sucursal],Sucursal_Semanal!J$5,Tabla_Registro_de_movimientos_app.accdb[Detalle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K12" s="187" t="e">
        <f>J12/J$13</f>
        <v>#DIV/0!</v>
      </c>
      <c r="L12" s="6">
        <f>SUMIFS(Tabla_Registro_de_movimientos_app.accdb[Importe_Ingreso],Tabla_Registro_de_movimientos_app.accdb[Sucursal],Sucursal_Semanal!L$5,Tabla_Registro_de_movimientos_app.accdb[Detalle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M12" s="187">
        <f t="shared" si="2"/>
        <v>0</v>
      </c>
      <c r="N12" s="6">
        <f>SUMIFS(Tabla_Registro_de_movimientos_app.accdb[Importe_Ingreso],Tabla_Registro_de_movimientos_app.accdb[Sucursal],Sucursal_Semanal!N$5,Tabla_Registro_de_movimientos_app.accdb[Detalle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O12" s="187" t="e">
        <f>N12/N$13</f>
        <v>#DIV/0!</v>
      </c>
      <c r="P12" s="6">
        <f>SUMIFS(Tabla_Registro_de_movimientos_app.accdb[Importe_Ingreso],Tabla_Registro_de_movimientos_app.accdb[Sucursal],Sucursal_Semanal!P$5,Tabla_Registro_de_movimientos_app.accdb[Detalle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Q12" s="187" t="e">
        <f>P12/P$13</f>
        <v>#DIV/0!</v>
      </c>
      <c r="R12" s="6">
        <f>SUMIFS(Tabla_Registro_de_movimientos_app.accdb[Importe_Ingreso],Tabla_Registro_de_movimientos_app.accdb[Sucursal],Sucursal_Semanal!R$5,Tabla_Registro_de_movimientos_app.accdb[Detalle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S12" s="187" t="e">
        <f>R12/R$13</f>
        <v>#DIV/0!</v>
      </c>
      <c r="T12" s="6">
        <f>SUMIFS(Tabla_Registro_de_movimientos_app.accdb[Importe_Ingreso],Tabla_Registro_de_movimientos_app.accdb[Sucursal],Sucursal_Semanal!T$5,Tabla_Registro_de_movimientos_app.accdb[Detalle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U12" s="187" t="e">
        <f>T12/T$13</f>
        <v>#DIV/0!</v>
      </c>
      <c r="V12" s="6">
        <f>SUMIFS(Tabla_Registro_de_movimientos_app.accdb[Importe_Ingreso],Tabla_Registro_de_movimientos_app.accdb[Sucursal],Sucursal_Semanal!V$5,Tabla_Registro_de_movimientos_app.accdb[Detalle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W12" s="187" t="e">
        <f>V12/V$13</f>
        <v>#DIV/0!</v>
      </c>
      <c r="X12" s="6">
        <f>SUMIFS(Tabla_Registro_de_movimientos_app.accdb[Importe_Ingreso],Tabla_Registro_de_movimientos_app.accdb[Sucursal],Sucursal_Semanal!X$5,Tabla_Registro_de_movimientos_app.accdb[Detalle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Y12" s="187" t="e">
        <f>X12/X$13</f>
        <v>#DIV/0!</v>
      </c>
      <c r="Z12" s="6">
        <f>SUMIFS(Tabla_Registro_de_movimientos_app.accdb[Importe_Ingreso],Tabla_Registro_de_movimientos_app.accdb[Sucursal],Sucursal_Semanal!Z$5,Tabla_Registro_de_movimientos_app.accdb[Detalle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A12" s="187" t="e">
        <f>Z12/Z$13</f>
        <v>#DIV/0!</v>
      </c>
      <c r="AB12" s="6">
        <f>SUMIFS(Tabla_Registro_de_movimientos_app.accdb[Importe_Ingreso],Tabla_Registro_de_movimientos_app.accdb[Sucursal],Sucursal_Semanal!AB$5,Tabla_Registro_de_movimientos_app.accdb[Detalle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C12" s="187" t="e">
        <f>AB12/AB$13</f>
        <v>#DIV/0!</v>
      </c>
      <c r="AD12" s="6">
        <f>SUMIFS(Tabla_Registro_de_movimientos_app.accdb[Importe_Ingreso],Tabla_Registro_de_movimientos_app.accdb[Sucursal],Sucursal_Semanal!AD$5,Tabla_Registro_de_movimientos_app.accdb[Detalle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E12" s="187" t="e">
        <f>AD12/AD$13</f>
        <v>#DIV/0!</v>
      </c>
      <c r="AF12" s="6">
        <f>SUMIFS(Tabla_Registro_de_movimientos_app.accdb[Importe_Ingreso],Tabla_Registro_de_movimientos_app.accdb[Sucursal],Sucursal_Semanal!AF$5,Tabla_Registro_de_movimientos_app.accdb[Detalle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G12" s="187" t="e">
        <f>AF12/AF$13</f>
        <v>#DIV/0!</v>
      </c>
      <c r="AH12" s="6">
        <f>SUMIFS(Tabla_Registro_de_movimientos_app.accdb[Importe_Ingreso],Tabla_Registro_de_movimientos_app.accdb[Sucursal],Sucursal_Semanal!AH$5,Tabla_Registro_de_movimientos_app.accdb[Detalle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I12" s="187" t="e">
        <f>AH12/AH$13</f>
        <v>#DIV/0!</v>
      </c>
      <c r="AJ12" s="6">
        <f>SUMIFS(Tabla_Registro_de_movimientos_app.accdb[Importe_Ingreso],Tabla_Registro_de_movimientos_app.accdb[Sucursal],Sucursal_Semanal!AJ$5,Tabla_Registro_de_movimientos_app.accdb[Detalle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K12" s="187" t="e">
        <f>AJ12/AJ$13</f>
        <v>#DIV/0!</v>
      </c>
      <c r="AM12" s="188">
        <f t="shared" si="3"/>
        <v>0</v>
      </c>
      <c r="AN12" s="189" t="e">
        <f t="shared" si="4"/>
        <v>#DIV/0!</v>
      </c>
    </row>
    <row r="13" spans="1:40" ht="15.75" thickBot="1" x14ac:dyDescent="0.3">
      <c r="A13" s="8" t="s">
        <v>38</v>
      </c>
      <c r="B13" s="190">
        <f t="shared" ref="B13:F13" si="5">SUM(B8:B12)</f>
        <v>0</v>
      </c>
      <c r="C13" s="191">
        <f>IFERROR(B13/$AM$13,0)</f>
        <v>0</v>
      </c>
      <c r="D13" s="190">
        <f t="shared" si="5"/>
        <v>0</v>
      </c>
      <c r="E13" s="191" t="e">
        <f>D13/$AM$13</f>
        <v>#DIV/0!</v>
      </c>
      <c r="F13" s="190">
        <f t="shared" si="5"/>
        <v>0</v>
      </c>
      <c r="G13" s="191">
        <f>IFERROR(F13/$AM$13,0)</f>
        <v>0</v>
      </c>
      <c r="H13" s="190">
        <f t="shared" ref="H13" si="6">SUM(H8:H12)</f>
        <v>0</v>
      </c>
      <c r="I13" s="191" t="e">
        <f>H13/$AM$13</f>
        <v>#DIV/0!</v>
      </c>
      <c r="J13" s="190">
        <f t="shared" ref="J13" si="7">SUM(J8:J12)</f>
        <v>0</v>
      </c>
      <c r="K13" s="191" t="e">
        <f>J13/$AM$13</f>
        <v>#DIV/0!</v>
      </c>
      <c r="L13" s="190">
        <f t="shared" ref="L13" si="8">SUM(L8:L12)</f>
        <v>0</v>
      </c>
      <c r="M13" s="191">
        <f>IFERROR(L13/$AM$13,0)</f>
        <v>0</v>
      </c>
      <c r="N13" s="190">
        <f t="shared" ref="N13" si="9">SUM(N8:N12)</f>
        <v>0</v>
      </c>
      <c r="O13" s="191" t="e">
        <f>N13/$AM$13</f>
        <v>#DIV/0!</v>
      </c>
      <c r="P13" s="190">
        <f t="shared" ref="P13" si="10">SUM(P8:P12)</f>
        <v>0</v>
      </c>
      <c r="Q13" s="191" t="e">
        <f>P13/$AM$13</f>
        <v>#DIV/0!</v>
      </c>
      <c r="R13" s="190">
        <f t="shared" ref="R13" si="11">SUM(R8:R12)</f>
        <v>0</v>
      </c>
      <c r="S13" s="191" t="e">
        <f>R13/$AM$13</f>
        <v>#DIV/0!</v>
      </c>
      <c r="T13" s="190">
        <f t="shared" ref="T13" si="12">SUM(T8:T12)</f>
        <v>0</v>
      </c>
      <c r="U13" s="191" t="e">
        <f>T13/$AM$13</f>
        <v>#DIV/0!</v>
      </c>
      <c r="V13" s="190">
        <f t="shared" ref="V13" si="13">SUM(V8:V12)</f>
        <v>0</v>
      </c>
      <c r="W13" s="191" t="e">
        <f>V13/$AM$13</f>
        <v>#DIV/0!</v>
      </c>
      <c r="X13" s="190">
        <f t="shared" ref="X13" si="14">SUM(X8:X12)</f>
        <v>0</v>
      </c>
      <c r="Y13" s="191" t="e">
        <f>X13/$AM$13</f>
        <v>#DIV/0!</v>
      </c>
      <c r="Z13" s="190">
        <f t="shared" ref="Z13:AB13" si="15">SUM(Z8:Z12)</f>
        <v>0</v>
      </c>
      <c r="AA13" s="191" t="e">
        <f>Z13/$AM$13</f>
        <v>#DIV/0!</v>
      </c>
      <c r="AB13" s="190">
        <f t="shared" si="15"/>
        <v>0</v>
      </c>
      <c r="AC13" s="191" t="e">
        <f>AB13/$AM$13</f>
        <v>#DIV/0!</v>
      </c>
      <c r="AD13" s="190">
        <f t="shared" ref="AD13" si="16">SUM(AD8:AD12)</f>
        <v>0</v>
      </c>
      <c r="AE13" s="191" t="e">
        <f>AD13/$AM$13</f>
        <v>#DIV/0!</v>
      </c>
      <c r="AF13" s="190">
        <f t="shared" ref="AF13" si="17">SUM(AF8:AF12)</f>
        <v>0</v>
      </c>
      <c r="AG13" s="191" t="e">
        <f>AF13/$AM$13</f>
        <v>#DIV/0!</v>
      </c>
      <c r="AH13" s="190">
        <f t="shared" ref="AH13:AJ13" si="18">SUM(AH8:AH12)</f>
        <v>0</v>
      </c>
      <c r="AI13" s="191" t="e">
        <f>AH13/$AM$13</f>
        <v>#DIV/0!</v>
      </c>
      <c r="AJ13" s="190">
        <f t="shared" si="18"/>
        <v>0</v>
      </c>
      <c r="AK13" s="191" t="e">
        <f>AJ13/$AM$13</f>
        <v>#DIV/0!</v>
      </c>
      <c r="AL13" s="8"/>
      <c r="AM13" s="192">
        <f>SUM(AM8:AM12)</f>
        <v>0</v>
      </c>
      <c r="AN13" s="193" t="e">
        <f>SUM(AN8:AN12)</f>
        <v>#DIV/0!</v>
      </c>
    </row>
    <row r="14" spans="1:40" ht="15.75" thickTop="1" x14ac:dyDescent="0.25"/>
    <row r="15" spans="1:40" x14ac:dyDescent="0.25">
      <c r="A15" s="7" t="s">
        <v>53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25">
      <c r="A16" t="s">
        <v>24</v>
      </c>
      <c r="B16">
        <f>SUMIFS(Tabla_Registro_de_movimientos_app.accdb[Importe_Inventario_I],Tabla_Registro_de_movimientos_app.accdb[Sucursal],Sucursal_Semanal!$B$5,Tabla_Registro_de_movimientos_app.accdb[Detalle de movimiento],Sucursal_Semanal!A16,Tabla_Registro_de_movimientos_app.accdb[Fecha],"&gt;"&amp;Sucursal_Semanal!$B$4,Tabla_Registro_de_movimientos_app.accdb[Fecha],"&lt;="&amp;Sucursal_Semanal!$C$4)</f>
        <v>0</v>
      </c>
      <c r="C16" s="194" t="e">
        <f>B16/$B$24</f>
        <v>#DIV/0!</v>
      </c>
      <c r="D16">
        <f>SUMIFS(Tabla_Registro_de_movimientos_app.accdb[Importe_Inventario_I],Tabla_Registro_de_movimientos_app.accdb[Sucursal],Sucursal_Semanal!D$5,Tabla_Registro_de_movimientos_app.accdb[Detalle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E16" s="194" t="e">
        <f>D16/D$24</f>
        <v>#DIV/0!</v>
      </c>
      <c r="F16">
        <f>SUMIFS(Tabla_Registro_de_movimientos_app.accdb[Importe_Inventario_I],Tabla_Registro_de_movimientos_app.accdb[Sucursal],Sucursal_Semanal!F$5,Tabla_Registro_de_movimientos_app.accdb[Detalle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G16" s="194" t="e">
        <f>F16/F$24</f>
        <v>#DIV/0!</v>
      </c>
      <c r="H16">
        <f>SUMIFS(Tabla_Registro_de_movimientos_app.accdb[Importe_Inventario_I],Tabla_Registro_de_movimientos_app.accdb[Sucursal],Sucursal_Semanal!H$5,Tabla_Registro_de_movimientos_app.accdb[Detalle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I16" s="194" t="e">
        <f>H16/H$24</f>
        <v>#DIV/0!</v>
      </c>
      <c r="J16">
        <f>SUMIFS(Tabla_Registro_de_movimientos_app.accdb[Importe_Inventario_I],Tabla_Registro_de_movimientos_app.accdb[Sucursal],Sucursal_Semanal!J$5,Tabla_Registro_de_movimientos_app.accdb[Detalle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K16" s="194" t="e">
        <f>J16/J$24</f>
        <v>#DIV/0!</v>
      </c>
      <c r="L16">
        <f>SUMIFS(Tabla_Registro_de_movimientos_app.accdb[Importe_Inventario_I],Tabla_Registro_de_movimientos_app.accdb[Sucursal],Sucursal_Semanal!L$5,Tabla_Registro_de_movimientos_app.accdb[Detalle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M16" s="194" t="e">
        <f>L16/L$24</f>
        <v>#DIV/0!</v>
      </c>
      <c r="N16">
        <f>SUMIFS(Tabla_Registro_de_movimientos_app.accdb[Importe_Inventario_I],Tabla_Registro_de_movimientos_app.accdb[Sucursal],Sucursal_Semanal!N$5,Tabla_Registro_de_movimientos_app.accdb[Detalle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O16" s="194" t="e">
        <f>N16/N$24</f>
        <v>#DIV/0!</v>
      </c>
      <c r="P16">
        <f>SUMIFS(Tabla_Registro_de_movimientos_app.accdb[Importe_Inventario_I],Tabla_Registro_de_movimientos_app.accdb[Sucursal],Sucursal_Semanal!P$5,Tabla_Registro_de_movimientos_app.accdb[Detalle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Q16" s="194" t="e">
        <f>P16/P$24</f>
        <v>#DIV/0!</v>
      </c>
      <c r="R16">
        <f>SUMIFS(Tabla_Registro_de_movimientos_app.accdb[Importe_Inventario_I],Tabla_Registro_de_movimientos_app.accdb[Sucursal],Sucursal_Semanal!R$5,Tabla_Registro_de_movimientos_app.accdb[Detalle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S16" s="194" t="e">
        <f>R16/R$24</f>
        <v>#DIV/0!</v>
      </c>
      <c r="T16">
        <f>SUMIFS(Tabla_Registro_de_movimientos_app.accdb[Importe_Inventario_I],Tabla_Registro_de_movimientos_app.accdb[Sucursal],Sucursal_Semanal!T$5,Tabla_Registro_de_movimientos_app.accdb[Detalle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U16" s="194" t="e">
        <f>T16/T$24</f>
        <v>#DIV/0!</v>
      </c>
      <c r="V16">
        <f>SUMIFS(Tabla_Registro_de_movimientos_app.accdb[Importe_Inventario_I],Tabla_Registro_de_movimientos_app.accdb[Sucursal],Sucursal_Semanal!V$5,Tabla_Registro_de_movimientos_app.accdb[Detalle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W16" s="194" t="e">
        <f>V16/V$24</f>
        <v>#DIV/0!</v>
      </c>
      <c r="X16">
        <f>SUMIFS(Tabla_Registro_de_movimientos_app.accdb[Importe_Inventario_I],Tabla_Registro_de_movimientos_app.accdb[Sucursal],Sucursal_Semanal!X$5,Tabla_Registro_de_movimientos_app.accdb[Detalle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Y16" s="194" t="e">
        <f>X16/X$24</f>
        <v>#DIV/0!</v>
      </c>
      <c r="Z16">
        <f>SUMIFS(Tabla_Registro_de_movimientos_app.accdb[Importe_Inventario_I],Tabla_Registro_de_movimientos_app.accdb[Sucursal],Sucursal_Semanal!Z$5,Tabla_Registro_de_movimientos_app.accdb[Detalle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A16" s="194" t="e">
        <f>Z16/Z$24</f>
        <v>#DIV/0!</v>
      </c>
      <c r="AB16">
        <f>SUMIFS(Tabla_Registro_de_movimientos_app.accdb[Importe_Inventario_I],Tabla_Registro_de_movimientos_app.accdb[Sucursal],Sucursal_Semanal!AB$5,Tabla_Registro_de_movimientos_app.accdb[Detalle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C16" s="194" t="e">
        <f>AB16/AB$24</f>
        <v>#DIV/0!</v>
      </c>
      <c r="AD16">
        <f>SUMIFS(Tabla_Registro_de_movimientos_app.accdb[Importe_Inventario_I],Tabla_Registro_de_movimientos_app.accdb[Sucursal],Sucursal_Semanal!AD$5,Tabla_Registro_de_movimientos_app.accdb[Detalle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E16" s="194" t="e">
        <f>AD16/AD$24</f>
        <v>#DIV/0!</v>
      </c>
      <c r="AF16">
        <f>SUMIFS(Tabla_Registro_de_movimientos_app.accdb[Importe_Inventario_I],Tabla_Registro_de_movimientos_app.accdb[Sucursal],Sucursal_Semanal!AF$5,Tabla_Registro_de_movimientos_app.accdb[Detalle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G16" s="194" t="e">
        <f>AF16/AF$24</f>
        <v>#DIV/0!</v>
      </c>
      <c r="AH16">
        <f>SUMIFS(Tabla_Registro_de_movimientos_app.accdb[Importe_Inventario_I],Tabla_Registro_de_movimientos_app.accdb[Sucursal],Sucursal_Semanal!AH$5,Tabla_Registro_de_movimientos_app.accdb[Detalle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I16" s="194" t="e">
        <f>AH16/AH$24</f>
        <v>#DIV/0!</v>
      </c>
      <c r="AJ16">
        <f>SUMIFS(Tabla_Registro_de_movimientos_app.accdb[Importe_Inventario_I],Tabla_Registro_de_movimientos_app.accdb[Sucursal],Sucursal_Semanal!AJ$5,Tabla_Registro_de_movimientos_app.accdb[Detalle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K16" s="194" t="e">
        <f>AJ16/AJ$24</f>
        <v>#DIV/0!</v>
      </c>
      <c r="AM16" s="188">
        <f>SUM(B16,D16,F16,H16,J16,L16,N16,P16,R16,T16,V16,X16,Z16,AB16,AD16,AF16,AH16,AJ16)</f>
        <v>0</v>
      </c>
      <c r="AN16" s="189" t="e">
        <f>AM16/$AM$24</f>
        <v>#DIV/0!</v>
      </c>
    </row>
    <row r="17" spans="1:40" x14ac:dyDescent="0.25">
      <c r="A17" t="s">
        <v>21</v>
      </c>
      <c r="B17">
        <f>SUMIFS(Tabla_Registro_de_movimientos_app.accdb[Importe_Costo],Tabla_Registro_de_movimientos_app.accdb[Sucursal],Sucursal_Semanal!$B$5,Tabla_Registro_de_movimientos_app.accdb[Detalle de movimiento],Sucursal_Semanal!A17,Tabla_Registro_de_movimientos_app.accdb[Fecha],"&gt;"&amp;Sucursal_Semanal!$B$4,Tabla_Registro_de_movimientos_app.accdb[Fecha],"&lt;="&amp;Sucursal_Semanal!$C$4)</f>
        <v>0</v>
      </c>
      <c r="C17" s="194" t="e">
        <f t="shared" ref="C17:C23" si="19">B17/$B$24</f>
        <v>#DIV/0!</v>
      </c>
      <c r="D17">
        <f>SUMIFS(Tabla_Registro_de_movimientos_app.accdb[Importe_Costo],Tabla_Registro_de_movimientos_app.accdb[Sucursal],Sucursal_Semanal!D$5,Tabla_Registro_de_movimientos_app.accdb[Detalle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E17" s="194" t="e">
        <f>D17/D$24</f>
        <v>#DIV/0!</v>
      </c>
      <c r="F17">
        <f>SUMIFS(Tabla_Registro_de_movimientos_app.accdb[Importe_Costo],Tabla_Registro_de_movimientos_app.accdb[Sucursal],Sucursal_Semanal!F$5,Tabla_Registro_de_movimientos_app.accdb[Detalle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G17" s="194" t="e">
        <f>F17/F$24</f>
        <v>#DIV/0!</v>
      </c>
      <c r="H17">
        <f>SUMIFS(Tabla_Registro_de_movimientos_app.accdb[Importe_Costo],Tabla_Registro_de_movimientos_app.accdb[Sucursal],Sucursal_Semanal!H$5,Tabla_Registro_de_movimientos_app.accdb[Detalle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I17" s="194" t="e">
        <f>H17/H$24</f>
        <v>#DIV/0!</v>
      </c>
      <c r="J17">
        <f>SUMIFS(Tabla_Registro_de_movimientos_app.accdb[Importe_Costo],Tabla_Registro_de_movimientos_app.accdb[Sucursal],Sucursal_Semanal!J$5,Tabla_Registro_de_movimientos_app.accdb[Detalle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K17" s="194" t="e">
        <f>J17/J$24</f>
        <v>#DIV/0!</v>
      </c>
      <c r="L17">
        <f>SUMIFS(Tabla_Registro_de_movimientos_app.accdb[Importe_Costo],Tabla_Registro_de_movimientos_app.accdb[Sucursal],Sucursal_Semanal!L$5,Tabla_Registro_de_movimientos_app.accdb[Detalle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M17" s="194" t="e">
        <f>L17/L$24</f>
        <v>#DIV/0!</v>
      </c>
      <c r="N17">
        <f>SUMIFS(Tabla_Registro_de_movimientos_app.accdb[Importe_Costo],Tabla_Registro_de_movimientos_app.accdb[Sucursal],Sucursal_Semanal!N$5,Tabla_Registro_de_movimientos_app.accdb[Detalle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O17" s="194" t="e">
        <f>N17/N$24</f>
        <v>#DIV/0!</v>
      </c>
      <c r="P17">
        <f>SUMIFS(Tabla_Registro_de_movimientos_app.accdb[Importe_Costo],Tabla_Registro_de_movimientos_app.accdb[Sucursal],Sucursal_Semanal!P$5,Tabla_Registro_de_movimientos_app.accdb[Detalle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Q17" s="194" t="e">
        <f>P17/P$24</f>
        <v>#DIV/0!</v>
      </c>
      <c r="R17">
        <f>SUMIFS(Tabla_Registro_de_movimientos_app.accdb[Importe_Costo],Tabla_Registro_de_movimientos_app.accdb[Sucursal],Sucursal_Semanal!R$5,Tabla_Registro_de_movimientos_app.accdb[Detalle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S17" s="194" t="e">
        <f>R17/R$24</f>
        <v>#DIV/0!</v>
      </c>
      <c r="T17">
        <f>SUMIFS(Tabla_Registro_de_movimientos_app.accdb[Importe_Costo],Tabla_Registro_de_movimientos_app.accdb[Sucursal],Sucursal_Semanal!T$5,Tabla_Registro_de_movimientos_app.accdb[Detalle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U17" s="194" t="e">
        <f>T17/T$24</f>
        <v>#DIV/0!</v>
      </c>
      <c r="V17">
        <f>SUMIFS(Tabla_Registro_de_movimientos_app.accdb[Importe_Costo],Tabla_Registro_de_movimientos_app.accdb[Sucursal],Sucursal_Semanal!V$5,Tabla_Registro_de_movimientos_app.accdb[Detalle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W17" s="194" t="e">
        <f>V17/V$24</f>
        <v>#DIV/0!</v>
      </c>
      <c r="X17">
        <f>SUMIFS(Tabla_Registro_de_movimientos_app.accdb[Importe_Costo],Tabla_Registro_de_movimientos_app.accdb[Sucursal],Sucursal_Semanal!X$5,Tabla_Registro_de_movimientos_app.accdb[Detalle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Y17" s="194" t="e">
        <f>X17/X$24</f>
        <v>#DIV/0!</v>
      </c>
      <c r="Z17">
        <f>SUMIFS(Tabla_Registro_de_movimientos_app.accdb[Importe_Costo],Tabla_Registro_de_movimientos_app.accdb[Sucursal],Sucursal_Semanal!Z$5,Tabla_Registro_de_movimientos_app.accdb[Detalle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A17" s="194" t="e">
        <f>Z17/Z$24</f>
        <v>#DIV/0!</v>
      </c>
      <c r="AB17">
        <f>SUMIFS(Tabla_Registro_de_movimientos_app.accdb[Importe_Costo],Tabla_Registro_de_movimientos_app.accdb[Sucursal],Sucursal_Semanal!AB$5,Tabla_Registro_de_movimientos_app.accdb[Detalle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C17" s="194" t="e">
        <f>AB17/AB$24</f>
        <v>#DIV/0!</v>
      </c>
      <c r="AD17">
        <f>SUMIFS(Tabla_Registro_de_movimientos_app.accdb[Importe_Costo],Tabla_Registro_de_movimientos_app.accdb[Sucursal],Sucursal_Semanal!AD$5,Tabla_Registro_de_movimientos_app.accdb[Detalle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E17" s="194" t="e">
        <f>AD17/AD$24</f>
        <v>#DIV/0!</v>
      </c>
      <c r="AF17">
        <f>SUMIFS(Tabla_Registro_de_movimientos_app.accdb[Importe_Costo],Tabla_Registro_de_movimientos_app.accdb[Sucursal],Sucursal_Semanal!AF$5,Tabla_Registro_de_movimientos_app.accdb[Detalle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G17" s="194" t="e">
        <f>AF17/AF$24</f>
        <v>#DIV/0!</v>
      </c>
      <c r="AH17">
        <f>SUMIFS(Tabla_Registro_de_movimientos_app.accdb[Importe_Costo],Tabla_Registro_de_movimientos_app.accdb[Sucursal],Sucursal_Semanal!AH$5,Tabla_Registro_de_movimientos_app.accdb[Detalle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I17" s="194" t="e">
        <f>AH17/AH$24</f>
        <v>#DIV/0!</v>
      </c>
      <c r="AJ17">
        <f>SUMIFS(Tabla_Registro_de_movimientos_app.accdb[Importe_Costo],Tabla_Registro_de_movimientos_app.accdb[Sucursal],Sucursal_Semanal!AJ$5,Tabla_Registro_de_movimientos_app.accdb[Detalle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K17" s="194" t="e">
        <f>AJ17/AJ$24</f>
        <v>#DIV/0!</v>
      </c>
      <c r="AM17" s="188">
        <f t="shared" ref="AM17:AM23" si="20">SUM(B17,D17,F17,H17,J17,L17,N17,P17,R17,T17,V17,X17,Z17,AB17,AD17,AF17,AH17,AJ17)</f>
        <v>0</v>
      </c>
      <c r="AN17" s="189" t="e">
        <f t="shared" ref="AN17:AN23" si="21">AM17/$AM$24</f>
        <v>#DIV/0!</v>
      </c>
    </row>
    <row r="18" spans="1:40" x14ac:dyDescent="0.25">
      <c r="A18" t="s">
        <v>54</v>
      </c>
      <c r="B18">
        <f>SUMIFS(Tabla_Registro_de_movimientos_app.accdb[Importe_Costo],Tabla_Registro_de_movimientos_app.accdb[Sucursal],Sucursal_Semanal!$B$5,Tabla_Registro_de_movimientos_app.accdb[Detalle de movimiento],Sucursal_Semanal!A18,Tabla_Registro_de_movimientos_app.accdb[Fecha],"&gt;"&amp;Sucursal_Semanal!$B$4,Tabla_Registro_de_movimientos_app.accdb[Fecha],"&lt;="&amp;Sucursal_Semanal!$C$4)</f>
        <v>0</v>
      </c>
      <c r="C18" s="194" t="e">
        <f t="shared" si="19"/>
        <v>#DIV/0!</v>
      </c>
      <c r="D18">
        <f>SUMIFS(Tabla_Registro_de_movimientos_app.accdb[Importe_Costo],Tabla_Registro_de_movimientos_app.accdb[Sucursal],Sucursal_Semanal!D$5,Tabla_Registro_de_movimientos_app.accdb[Detalle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E18" s="194" t="e">
        <f t="shared" ref="E18:E23" si="22">D18/D$24</f>
        <v>#DIV/0!</v>
      </c>
      <c r="F18">
        <f>SUMIFS(Tabla_Registro_de_movimientos_app.accdb[Importe_Costo],Tabla_Registro_de_movimientos_app.accdb[Sucursal],Sucursal_Semanal!F$5,Tabla_Registro_de_movimientos_app.accdb[Detalle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G18" s="194" t="e">
        <f t="shared" ref="G18:G23" si="23">F18/F$24</f>
        <v>#DIV/0!</v>
      </c>
      <c r="H18">
        <f>SUMIFS(Tabla_Registro_de_movimientos_app.accdb[Importe_Costo],Tabla_Registro_de_movimientos_app.accdb[Sucursal],Sucursal_Semanal!H$5,Tabla_Registro_de_movimientos_app.accdb[Detalle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I18" s="194" t="e">
        <f t="shared" ref="I18:I23" si="24">H18/H$24</f>
        <v>#DIV/0!</v>
      </c>
      <c r="J18">
        <f>SUMIFS(Tabla_Registro_de_movimientos_app.accdb[Importe_Costo],Tabla_Registro_de_movimientos_app.accdb[Sucursal],Sucursal_Semanal!J$5,Tabla_Registro_de_movimientos_app.accdb[Detalle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K18" s="194" t="e">
        <f t="shared" ref="K18:K23" si="25">J18/J$24</f>
        <v>#DIV/0!</v>
      </c>
      <c r="L18">
        <f>SUMIFS(Tabla_Registro_de_movimientos_app.accdb[Importe_Costo],Tabla_Registro_de_movimientos_app.accdb[Sucursal],Sucursal_Semanal!L$5,Tabla_Registro_de_movimientos_app.accdb[Detalle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M18" s="194" t="e">
        <f t="shared" ref="M18:M23" si="26">L18/L$24</f>
        <v>#DIV/0!</v>
      </c>
      <c r="N18">
        <f>SUMIFS(Tabla_Registro_de_movimientos_app.accdb[Importe_Costo],Tabla_Registro_de_movimientos_app.accdb[Sucursal],Sucursal_Semanal!N$5,Tabla_Registro_de_movimientos_app.accdb[Detalle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O18" s="194" t="e">
        <f t="shared" ref="O18:O23" si="27">N18/N$24</f>
        <v>#DIV/0!</v>
      </c>
      <c r="P18">
        <f>SUMIFS(Tabla_Registro_de_movimientos_app.accdb[Importe_Costo],Tabla_Registro_de_movimientos_app.accdb[Sucursal],Sucursal_Semanal!P$5,Tabla_Registro_de_movimientos_app.accdb[Detalle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Q18" s="194" t="e">
        <f t="shared" ref="Q18:Q23" si="28">P18/P$24</f>
        <v>#DIV/0!</v>
      </c>
      <c r="R18">
        <f>SUMIFS(Tabla_Registro_de_movimientos_app.accdb[Importe_Costo],Tabla_Registro_de_movimientos_app.accdb[Sucursal],Sucursal_Semanal!R$5,Tabla_Registro_de_movimientos_app.accdb[Detalle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S18" s="194" t="e">
        <f t="shared" ref="S18:S23" si="29">R18/R$24</f>
        <v>#DIV/0!</v>
      </c>
      <c r="T18">
        <f>SUMIFS(Tabla_Registro_de_movimientos_app.accdb[Importe_Costo],Tabla_Registro_de_movimientos_app.accdb[Sucursal],Sucursal_Semanal!T$5,Tabla_Registro_de_movimientos_app.accdb[Detalle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U18" s="194" t="e">
        <f t="shared" ref="U18:U23" si="30">T18/T$24</f>
        <v>#DIV/0!</v>
      </c>
      <c r="V18">
        <f>SUMIFS(Tabla_Registro_de_movimientos_app.accdb[Importe_Costo],Tabla_Registro_de_movimientos_app.accdb[Sucursal],Sucursal_Semanal!V$5,Tabla_Registro_de_movimientos_app.accdb[Detalle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W18" s="194" t="e">
        <f t="shared" ref="W18:W23" si="31">V18/V$24</f>
        <v>#DIV/0!</v>
      </c>
      <c r="X18">
        <f>SUMIFS(Tabla_Registro_de_movimientos_app.accdb[Importe_Costo],Tabla_Registro_de_movimientos_app.accdb[Sucursal],Sucursal_Semanal!X$5,Tabla_Registro_de_movimientos_app.accdb[Detalle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Y18" s="194" t="e">
        <f t="shared" ref="Y18:Y23" si="32">X18/X$24</f>
        <v>#DIV/0!</v>
      </c>
      <c r="Z18">
        <f>SUMIFS(Tabla_Registro_de_movimientos_app.accdb[Importe_Costo],Tabla_Registro_de_movimientos_app.accdb[Sucursal],Sucursal_Semanal!Z$5,Tabla_Registro_de_movimientos_app.accdb[Detalle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A18" s="194" t="e">
        <f t="shared" ref="AA18:AA23" si="33">Z18/Z$24</f>
        <v>#DIV/0!</v>
      </c>
      <c r="AB18">
        <f>SUMIFS(Tabla_Registro_de_movimientos_app.accdb[Importe_Costo],Tabla_Registro_de_movimientos_app.accdb[Sucursal],Sucursal_Semanal!AB$5,Tabla_Registro_de_movimientos_app.accdb[Detalle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C18" s="194" t="e">
        <f t="shared" ref="AC18:AC23" si="34">AB18/AB$24</f>
        <v>#DIV/0!</v>
      </c>
      <c r="AD18">
        <f>SUMIFS(Tabla_Registro_de_movimientos_app.accdb[Importe_Costo],Tabla_Registro_de_movimientos_app.accdb[Sucursal],Sucursal_Semanal!AD$5,Tabla_Registro_de_movimientos_app.accdb[Detalle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E18" s="194" t="e">
        <f t="shared" ref="AE18:AE23" si="35">AD18/AD$24</f>
        <v>#DIV/0!</v>
      </c>
      <c r="AF18">
        <f>SUMIFS(Tabla_Registro_de_movimientos_app.accdb[Importe_Costo],Tabla_Registro_de_movimientos_app.accdb[Sucursal],Sucursal_Semanal!AF$5,Tabla_Registro_de_movimientos_app.accdb[Detalle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G18" s="194" t="e">
        <f t="shared" ref="AG18:AG23" si="36">AF18/AF$24</f>
        <v>#DIV/0!</v>
      </c>
      <c r="AH18">
        <f>SUMIFS(Tabla_Registro_de_movimientos_app.accdb[Importe_Costo],Tabla_Registro_de_movimientos_app.accdb[Sucursal],Sucursal_Semanal!AH$5,Tabla_Registro_de_movimientos_app.accdb[Detalle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I18" s="194" t="e">
        <f t="shared" ref="AI18:AI23" si="37">AH18/AH$24</f>
        <v>#DIV/0!</v>
      </c>
      <c r="AJ18">
        <f>SUMIFS(Tabla_Registro_de_movimientos_app.accdb[Importe_Costo],Tabla_Registro_de_movimientos_app.accdb[Sucursal],Sucursal_Semanal!AJ$5,Tabla_Registro_de_movimientos_app.accdb[Detalle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K18" s="194" t="e">
        <f t="shared" ref="AK18:AK23" si="38">AJ18/AJ$24</f>
        <v>#DIV/0!</v>
      </c>
      <c r="AM18" s="188">
        <f t="shared" si="20"/>
        <v>0</v>
      </c>
      <c r="AN18" s="189" t="e">
        <f t="shared" si="21"/>
        <v>#DIV/0!</v>
      </c>
    </row>
    <row r="19" spans="1:40" x14ac:dyDescent="0.25">
      <c r="A19" t="s">
        <v>29</v>
      </c>
      <c r="B19" s="115">
        <f>SUMIFS(Tabla_Registro_de_movimientos_app.accdb[Importe_Costo],Tabla_Registro_de_movimientos_app.accdb[Sucursal],Sucursal_Semanal!$B$5,Tabla_Registro_de_movimientos_app.accdb[Detalle de movimiento],Sucursal_Semanal!A19,Tabla_Registro_de_movimientos_app.accdb[Fecha],"&gt;"&amp;Sucursal_Semanal!$B$4,Tabla_Registro_de_movimientos_app.accdb[Fecha],"&lt;="&amp;Sucursal_Semanal!$C$4)</f>
        <v>0</v>
      </c>
      <c r="C19" s="194" t="e">
        <f t="shared" si="19"/>
        <v>#DIV/0!</v>
      </c>
      <c r="D19" s="115">
        <f>SUMIFS(Tabla_Registro_de_movimientos_app.accdb[Importe_Costo],Tabla_Registro_de_movimientos_app.accdb[Sucursal],Sucursal_Semanal!D$5,Tabla_Registro_de_movimientos_app.accdb[Detalle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E19" s="194" t="e">
        <f t="shared" si="22"/>
        <v>#DIV/0!</v>
      </c>
      <c r="F19" s="115">
        <f>SUMIFS(Tabla_Registro_de_movimientos_app.accdb[Importe_Costo],Tabla_Registro_de_movimientos_app.accdb[Sucursal],Sucursal_Semanal!F$5,Tabla_Registro_de_movimientos_app.accdb[Detalle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G19" s="194" t="e">
        <f t="shared" si="23"/>
        <v>#DIV/0!</v>
      </c>
      <c r="H19">
        <f>SUMIFS(Tabla_Registro_de_movimientos_app.accdb[Importe_Costo],Tabla_Registro_de_movimientos_app.accdb[Sucursal],Sucursal_Semanal!H$5,Tabla_Registro_de_movimientos_app.accdb[Detalle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I19" s="194" t="e">
        <f t="shared" si="24"/>
        <v>#DIV/0!</v>
      </c>
      <c r="J19">
        <f>SUMIFS(Tabla_Registro_de_movimientos_app.accdb[Importe_Costo],Tabla_Registro_de_movimientos_app.accdb[Sucursal],Sucursal_Semanal!J$5,Tabla_Registro_de_movimientos_app.accdb[Detalle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K19" s="194" t="e">
        <f t="shared" si="25"/>
        <v>#DIV/0!</v>
      </c>
      <c r="L19" s="115">
        <f>SUMIFS(Tabla_Registro_de_movimientos_app.accdb[Importe_Costo],Tabla_Registro_de_movimientos_app.accdb[Sucursal],Sucursal_Semanal!L$5,Tabla_Registro_de_movimientos_app.accdb[Detalle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M19" s="194" t="e">
        <f t="shared" si="26"/>
        <v>#DIV/0!</v>
      </c>
      <c r="N19">
        <f>SUMIFS(Tabla_Registro_de_movimientos_app.accdb[Importe_Costo],Tabla_Registro_de_movimientos_app.accdb[Sucursal],Sucursal_Semanal!N$5,Tabla_Registro_de_movimientos_app.accdb[Detalle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O19" s="194" t="e">
        <f t="shared" si="27"/>
        <v>#DIV/0!</v>
      </c>
      <c r="P19">
        <f>SUMIFS(Tabla_Registro_de_movimientos_app.accdb[Importe_Costo],Tabla_Registro_de_movimientos_app.accdb[Sucursal],Sucursal_Semanal!P$5,Tabla_Registro_de_movimientos_app.accdb[Detalle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Q19" s="194" t="e">
        <f t="shared" si="28"/>
        <v>#DIV/0!</v>
      </c>
      <c r="R19">
        <f>SUMIFS(Tabla_Registro_de_movimientos_app.accdb[Importe_Costo],Tabla_Registro_de_movimientos_app.accdb[Sucursal],Sucursal_Semanal!R$5,Tabla_Registro_de_movimientos_app.accdb[Detalle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S19" s="194" t="e">
        <f t="shared" si="29"/>
        <v>#DIV/0!</v>
      </c>
      <c r="T19">
        <f>SUMIFS(Tabla_Registro_de_movimientos_app.accdb[Importe_Costo],Tabla_Registro_de_movimientos_app.accdb[Sucursal],Sucursal_Semanal!T$5,Tabla_Registro_de_movimientos_app.accdb[Detalle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U19" s="194" t="e">
        <f t="shared" si="30"/>
        <v>#DIV/0!</v>
      </c>
      <c r="V19">
        <f>SUMIFS(Tabla_Registro_de_movimientos_app.accdb[Importe_Costo],Tabla_Registro_de_movimientos_app.accdb[Sucursal],Sucursal_Semanal!V$5,Tabla_Registro_de_movimientos_app.accdb[Detalle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W19" s="194" t="e">
        <f t="shared" si="31"/>
        <v>#DIV/0!</v>
      </c>
      <c r="X19">
        <f>SUMIFS(Tabla_Registro_de_movimientos_app.accdb[Importe_Costo],Tabla_Registro_de_movimientos_app.accdb[Sucursal],Sucursal_Semanal!X$5,Tabla_Registro_de_movimientos_app.accdb[Detalle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Y19" s="194" t="e">
        <f t="shared" si="32"/>
        <v>#DIV/0!</v>
      </c>
      <c r="Z19">
        <f>SUMIFS(Tabla_Registro_de_movimientos_app.accdb[Importe_Costo],Tabla_Registro_de_movimientos_app.accdb[Sucursal],Sucursal_Semanal!Z$5,Tabla_Registro_de_movimientos_app.accdb[Detalle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A19" s="194" t="e">
        <f t="shared" si="33"/>
        <v>#DIV/0!</v>
      </c>
      <c r="AB19">
        <f>SUMIFS(Tabla_Registro_de_movimientos_app.accdb[Importe_Costo],Tabla_Registro_de_movimientos_app.accdb[Sucursal],Sucursal_Semanal!AB$5,Tabla_Registro_de_movimientos_app.accdb[Detalle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C19" s="194" t="e">
        <f t="shared" si="34"/>
        <v>#DIV/0!</v>
      </c>
      <c r="AD19">
        <f>SUMIFS(Tabla_Registro_de_movimientos_app.accdb[Importe_Costo],Tabla_Registro_de_movimientos_app.accdb[Sucursal],Sucursal_Semanal!AD$5,Tabla_Registro_de_movimientos_app.accdb[Detalle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E19" s="194" t="e">
        <f t="shared" si="35"/>
        <v>#DIV/0!</v>
      </c>
      <c r="AF19">
        <f>SUMIFS(Tabla_Registro_de_movimientos_app.accdb[Importe_Costo],Tabla_Registro_de_movimientos_app.accdb[Sucursal],Sucursal_Semanal!AF$5,Tabla_Registro_de_movimientos_app.accdb[Detalle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G19" s="194" t="e">
        <f t="shared" si="36"/>
        <v>#DIV/0!</v>
      </c>
      <c r="AH19">
        <f>SUMIFS(Tabla_Registro_de_movimientos_app.accdb[Importe_Costo],Tabla_Registro_de_movimientos_app.accdb[Sucursal],Sucursal_Semanal!AH$5,Tabla_Registro_de_movimientos_app.accdb[Detalle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I19" s="194" t="e">
        <f t="shared" si="37"/>
        <v>#DIV/0!</v>
      </c>
      <c r="AJ19">
        <f>SUMIFS(Tabla_Registro_de_movimientos_app.accdb[Importe_Costo],Tabla_Registro_de_movimientos_app.accdb[Sucursal],Sucursal_Semanal!AJ$5,Tabla_Registro_de_movimientos_app.accdb[Detalle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K19" s="194" t="e">
        <f t="shared" si="38"/>
        <v>#DIV/0!</v>
      </c>
      <c r="AM19" s="188">
        <f t="shared" si="20"/>
        <v>0</v>
      </c>
      <c r="AN19" s="189" t="e">
        <f t="shared" si="21"/>
        <v>#DIV/0!</v>
      </c>
    </row>
    <row r="20" spans="1:40" x14ac:dyDescent="0.25">
      <c r="A20" t="s">
        <v>55</v>
      </c>
      <c r="B20">
        <f>SUMIFS(Tabla_Registro_de_movimientos_app.accdb[Importe_Costo],Tabla_Registro_de_movimientos_app.accdb[Sucursal],Sucursal_Semanal!$B$5,Tabla_Registro_de_movimientos_app.accdb[Detalle de movimiento],Sucursal_Semanal!A20,Tabla_Registro_de_movimientos_app.accdb[Fecha],"&gt;"&amp;Sucursal_Semanal!$B$4,Tabla_Registro_de_movimientos_app.accdb[Fecha],"&lt;="&amp;Sucursal_Semanal!$C$4)</f>
        <v>0</v>
      </c>
      <c r="C20" s="194" t="e">
        <f t="shared" si="19"/>
        <v>#DIV/0!</v>
      </c>
      <c r="D20">
        <f>SUMIFS(Tabla_Registro_de_movimientos_app.accdb[Importe_Costo],Tabla_Registro_de_movimientos_app.accdb[Sucursal],Sucursal_Semanal!D$5,Tabla_Registro_de_movimientos_app.accdb[Detalle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E20" s="194" t="e">
        <f t="shared" si="22"/>
        <v>#DIV/0!</v>
      </c>
      <c r="F20">
        <f>SUMIFS(Tabla_Registro_de_movimientos_app.accdb[Importe_Costo],Tabla_Registro_de_movimientos_app.accdb[Sucursal],Sucursal_Semanal!F$5,Tabla_Registro_de_movimientos_app.accdb[Detalle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G20" s="194" t="e">
        <f t="shared" si="23"/>
        <v>#DIV/0!</v>
      </c>
      <c r="H20">
        <f>SUMIFS(Tabla_Registro_de_movimientos_app.accdb[Importe_Costo],Tabla_Registro_de_movimientos_app.accdb[Sucursal],Sucursal_Semanal!H$5,Tabla_Registro_de_movimientos_app.accdb[Detalle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I20" s="194" t="e">
        <f t="shared" si="24"/>
        <v>#DIV/0!</v>
      </c>
      <c r="J20">
        <f>SUMIFS(Tabla_Registro_de_movimientos_app.accdb[Importe_Costo],Tabla_Registro_de_movimientos_app.accdb[Sucursal],Sucursal_Semanal!J$5,Tabla_Registro_de_movimientos_app.accdb[Detalle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K20" s="194" t="e">
        <f t="shared" si="25"/>
        <v>#DIV/0!</v>
      </c>
      <c r="L20">
        <f>SUMIFS(Tabla_Registro_de_movimientos_app.accdb[Importe_Costo],Tabla_Registro_de_movimientos_app.accdb[Sucursal],Sucursal_Semanal!L$5,Tabla_Registro_de_movimientos_app.accdb[Detalle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M20" s="194" t="e">
        <f t="shared" si="26"/>
        <v>#DIV/0!</v>
      </c>
      <c r="N20">
        <f>SUMIFS(Tabla_Registro_de_movimientos_app.accdb[Importe_Costo],Tabla_Registro_de_movimientos_app.accdb[Sucursal],Sucursal_Semanal!N$5,Tabla_Registro_de_movimientos_app.accdb[Detalle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O20" s="194" t="e">
        <f t="shared" si="27"/>
        <v>#DIV/0!</v>
      </c>
      <c r="P20">
        <f>SUMIFS(Tabla_Registro_de_movimientos_app.accdb[Importe_Costo],Tabla_Registro_de_movimientos_app.accdb[Sucursal],Sucursal_Semanal!P$5,Tabla_Registro_de_movimientos_app.accdb[Detalle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Q20" s="194" t="e">
        <f t="shared" si="28"/>
        <v>#DIV/0!</v>
      </c>
      <c r="R20">
        <f>SUMIFS(Tabla_Registro_de_movimientos_app.accdb[Importe_Costo],Tabla_Registro_de_movimientos_app.accdb[Sucursal],Sucursal_Semanal!R$5,Tabla_Registro_de_movimientos_app.accdb[Detalle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S20" s="194" t="e">
        <f t="shared" si="29"/>
        <v>#DIV/0!</v>
      </c>
      <c r="T20">
        <f>SUMIFS(Tabla_Registro_de_movimientos_app.accdb[Importe_Costo],Tabla_Registro_de_movimientos_app.accdb[Sucursal],Sucursal_Semanal!T$5,Tabla_Registro_de_movimientos_app.accdb[Detalle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U20" s="194" t="e">
        <f t="shared" si="30"/>
        <v>#DIV/0!</v>
      </c>
      <c r="V20">
        <f>SUMIFS(Tabla_Registro_de_movimientos_app.accdb[Importe_Costo],Tabla_Registro_de_movimientos_app.accdb[Sucursal],Sucursal_Semanal!V$5,Tabla_Registro_de_movimientos_app.accdb[Detalle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W20" s="194" t="e">
        <f t="shared" si="31"/>
        <v>#DIV/0!</v>
      </c>
      <c r="X20">
        <f>SUMIFS(Tabla_Registro_de_movimientos_app.accdb[Importe_Costo],Tabla_Registro_de_movimientos_app.accdb[Sucursal],Sucursal_Semanal!X$5,Tabla_Registro_de_movimientos_app.accdb[Detalle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Y20" s="194" t="e">
        <f t="shared" si="32"/>
        <v>#DIV/0!</v>
      </c>
      <c r="Z20">
        <f>SUMIFS(Tabla_Registro_de_movimientos_app.accdb[Importe_Costo],Tabla_Registro_de_movimientos_app.accdb[Sucursal],Sucursal_Semanal!Z$5,Tabla_Registro_de_movimientos_app.accdb[Detalle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A20" s="194" t="e">
        <f t="shared" si="33"/>
        <v>#DIV/0!</v>
      </c>
      <c r="AB20">
        <f>SUMIFS(Tabla_Registro_de_movimientos_app.accdb[Importe_Costo],Tabla_Registro_de_movimientos_app.accdb[Sucursal],Sucursal_Semanal!AB$5,Tabla_Registro_de_movimientos_app.accdb[Detalle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C20" s="194" t="e">
        <f t="shared" si="34"/>
        <v>#DIV/0!</v>
      </c>
      <c r="AD20">
        <f>SUMIFS(Tabla_Registro_de_movimientos_app.accdb[Importe_Costo],Tabla_Registro_de_movimientos_app.accdb[Sucursal],Sucursal_Semanal!AD$5,Tabla_Registro_de_movimientos_app.accdb[Detalle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E20" s="194" t="e">
        <f t="shared" si="35"/>
        <v>#DIV/0!</v>
      </c>
      <c r="AF20">
        <f>SUMIFS(Tabla_Registro_de_movimientos_app.accdb[Importe_Costo],Tabla_Registro_de_movimientos_app.accdb[Sucursal],Sucursal_Semanal!AF$5,Tabla_Registro_de_movimientos_app.accdb[Detalle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G20" s="194" t="e">
        <f t="shared" si="36"/>
        <v>#DIV/0!</v>
      </c>
      <c r="AH20">
        <f>SUMIFS(Tabla_Registro_de_movimientos_app.accdb[Importe_Costo],Tabla_Registro_de_movimientos_app.accdb[Sucursal],Sucursal_Semanal!AH$5,Tabla_Registro_de_movimientos_app.accdb[Detalle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I20" s="194" t="e">
        <f t="shared" si="37"/>
        <v>#DIV/0!</v>
      </c>
      <c r="AJ20">
        <f>SUMIFS(Tabla_Registro_de_movimientos_app.accdb[Importe_Costo],Tabla_Registro_de_movimientos_app.accdb[Sucursal],Sucursal_Semanal!AJ$5,Tabla_Registro_de_movimientos_app.accdb[Detalle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K20" s="194" t="e">
        <f t="shared" si="38"/>
        <v>#DIV/0!</v>
      </c>
      <c r="AM20" s="188">
        <f t="shared" si="20"/>
        <v>0</v>
      </c>
      <c r="AN20" s="189" t="e">
        <f t="shared" si="21"/>
        <v>#DIV/0!</v>
      </c>
    </row>
    <row r="21" spans="1:40" x14ac:dyDescent="0.25">
      <c r="A21" t="s">
        <v>56</v>
      </c>
      <c r="B21">
        <f>SUMIFS(Tabla_Registro_de_movimientos_app.accdb[Importe_Costo],Tabla_Registro_de_movimientos_app.accdb[Sucursal],Sucursal_Semanal!$B$5,Tabla_Registro_de_movimientos_app.accdb[Detalle de movimiento],Sucursal_Semanal!A21,Tabla_Registro_de_movimientos_app.accdb[Fecha],"&gt;"&amp;Sucursal_Semanal!$B$4,Tabla_Registro_de_movimientos_app.accdb[Fecha],"&lt;="&amp;Sucursal_Semanal!$C$4)</f>
        <v>0</v>
      </c>
      <c r="C21" s="194" t="e">
        <f t="shared" si="19"/>
        <v>#DIV/0!</v>
      </c>
      <c r="D21">
        <f>SUMIFS(Tabla_Registro_de_movimientos_app.accdb[Importe_Costo],Tabla_Registro_de_movimientos_app.accdb[Sucursal],Sucursal_Semanal!D$5,Tabla_Registro_de_movimientos_app.accdb[Detalle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E21" s="194" t="e">
        <f t="shared" si="22"/>
        <v>#DIV/0!</v>
      </c>
      <c r="F21">
        <f>SUMIFS(Tabla_Registro_de_movimientos_app.accdb[Importe_Costo],Tabla_Registro_de_movimientos_app.accdb[Sucursal],Sucursal_Semanal!F$5,Tabla_Registro_de_movimientos_app.accdb[Detalle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G21" s="194" t="e">
        <f t="shared" si="23"/>
        <v>#DIV/0!</v>
      </c>
      <c r="H21">
        <f>SUMIFS(Tabla_Registro_de_movimientos_app.accdb[Importe_Costo],Tabla_Registro_de_movimientos_app.accdb[Sucursal],Sucursal_Semanal!H$5,Tabla_Registro_de_movimientos_app.accdb[Detalle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I21" s="194" t="e">
        <f t="shared" si="24"/>
        <v>#DIV/0!</v>
      </c>
      <c r="J21">
        <f>SUMIFS(Tabla_Registro_de_movimientos_app.accdb[Importe_Costo],Tabla_Registro_de_movimientos_app.accdb[Sucursal],Sucursal_Semanal!J$5,Tabla_Registro_de_movimientos_app.accdb[Detalle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K21" s="194" t="e">
        <f t="shared" si="25"/>
        <v>#DIV/0!</v>
      </c>
      <c r="L21">
        <f>SUMIFS(Tabla_Registro_de_movimientos_app.accdb[Importe_Costo],Tabla_Registro_de_movimientos_app.accdb[Sucursal],Sucursal_Semanal!L$5,Tabla_Registro_de_movimientos_app.accdb[Detalle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M21" s="194" t="e">
        <f t="shared" si="26"/>
        <v>#DIV/0!</v>
      </c>
      <c r="N21">
        <f>SUMIFS(Tabla_Registro_de_movimientos_app.accdb[Importe_Costo],Tabla_Registro_de_movimientos_app.accdb[Sucursal],Sucursal_Semanal!N$5,Tabla_Registro_de_movimientos_app.accdb[Detalle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O21" s="194" t="e">
        <f t="shared" si="27"/>
        <v>#DIV/0!</v>
      </c>
      <c r="P21">
        <f>SUMIFS(Tabla_Registro_de_movimientos_app.accdb[Importe_Costo],Tabla_Registro_de_movimientos_app.accdb[Sucursal],Sucursal_Semanal!P$5,Tabla_Registro_de_movimientos_app.accdb[Detalle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Q21" s="194" t="e">
        <f t="shared" si="28"/>
        <v>#DIV/0!</v>
      </c>
      <c r="R21">
        <f>SUMIFS(Tabla_Registro_de_movimientos_app.accdb[Importe_Costo],Tabla_Registro_de_movimientos_app.accdb[Sucursal],Sucursal_Semanal!R$5,Tabla_Registro_de_movimientos_app.accdb[Detalle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S21" s="194" t="e">
        <f t="shared" si="29"/>
        <v>#DIV/0!</v>
      </c>
      <c r="T21">
        <f>SUMIFS(Tabla_Registro_de_movimientos_app.accdb[Importe_Costo],Tabla_Registro_de_movimientos_app.accdb[Sucursal],Sucursal_Semanal!T$5,Tabla_Registro_de_movimientos_app.accdb[Detalle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U21" s="194" t="e">
        <f t="shared" si="30"/>
        <v>#DIV/0!</v>
      </c>
      <c r="V21">
        <f>SUMIFS(Tabla_Registro_de_movimientos_app.accdb[Importe_Costo],Tabla_Registro_de_movimientos_app.accdb[Sucursal],Sucursal_Semanal!V$5,Tabla_Registro_de_movimientos_app.accdb[Detalle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W21" s="194" t="e">
        <f t="shared" si="31"/>
        <v>#DIV/0!</v>
      </c>
      <c r="X21">
        <f>SUMIFS(Tabla_Registro_de_movimientos_app.accdb[Importe_Costo],Tabla_Registro_de_movimientos_app.accdb[Sucursal],Sucursal_Semanal!X$5,Tabla_Registro_de_movimientos_app.accdb[Detalle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Y21" s="194" t="e">
        <f t="shared" si="32"/>
        <v>#DIV/0!</v>
      </c>
      <c r="Z21">
        <f>SUMIFS(Tabla_Registro_de_movimientos_app.accdb[Importe_Costo],Tabla_Registro_de_movimientos_app.accdb[Sucursal],Sucursal_Semanal!Z$5,Tabla_Registro_de_movimientos_app.accdb[Detalle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A21" s="194" t="e">
        <f t="shared" si="33"/>
        <v>#DIV/0!</v>
      </c>
      <c r="AB21">
        <f>SUMIFS(Tabla_Registro_de_movimientos_app.accdb[Importe_Costo],Tabla_Registro_de_movimientos_app.accdb[Sucursal],Sucursal_Semanal!AB$5,Tabla_Registro_de_movimientos_app.accdb[Detalle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C21" s="194" t="e">
        <f t="shared" si="34"/>
        <v>#DIV/0!</v>
      </c>
      <c r="AD21">
        <f>SUMIFS(Tabla_Registro_de_movimientos_app.accdb[Importe_Costo],Tabla_Registro_de_movimientos_app.accdb[Sucursal],Sucursal_Semanal!AD$5,Tabla_Registro_de_movimientos_app.accdb[Detalle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E21" s="194" t="e">
        <f t="shared" si="35"/>
        <v>#DIV/0!</v>
      </c>
      <c r="AF21">
        <f>SUMIFS(Tabla_Registro_de_movimientos_app.accdb[Importe_Costo],Tabla_Registro_de_movimientos_app.accdb[Sucursal],Sucursal_Semanal!AF$5,Tabla_Registro_de_movimientos_app.accdb[Detalle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G21" s="194" t="e">
        <f t="shared" si="36"/>
        <v>#DIV/0!</v>
      </c>
      <c r="AH21">
        <f>SUMIFS(Tabla_Registro_de_movimientos_app.accdb[Importe_Costo],Tabla_Registro_de_movimientos_app.accdb[Sucursal],Sucursal_Semanal!AH$5,Tabla_Registro_de_movimientos_app.accdb[Detalle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I21" s="194" t="e">
        <f t="shared" si="37"/>
        <v>#DIV/0!</v>
      </c>
      <c r="AJ21">
        <f>SUMIFS(Tabla_Registro_de_movimientos_app.accdb[Importe_Costo],Tabla_Registro_de_movimientos_app.accdb[Sucursal],Sucursal_Semanal!AJ$5,Tabla_Registro_de_movimientos_app.accdb[Detalle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K21" s="194" t="e">
        <f t="shared" si="38"/>
        <v>#DIV/0!</v>
      </c>
      <c r="AM21" s="188">
        <f t="shared" si="20"/>
        <v>0</v>
      </c>
      <c r="AN21" s="189" t="e">
        <f t="shared" si="21"/>
        <v>#DIV/0!</v>
      </c>
    </row>
    <row r="22" spans="1:40" x14ac:dyDescent="0.25">
      <c r="A22" t="s">
        <v>25</v>
      </c>
      <c r="B22">
        <f>SUMIFS(Tabla_Registro_de_movimientos_app.accdb[Importe_Inventario_F],Tabla_Registro_de_movimientos_app.accdb[Sucursal],Sucursal_Semanal!$B$5,Tabla_Registro_de_movimientos_app.accdb[Detalle de movimiento],Sucursal_Semanal!A22,Tabla_Registro_de_movimientos_app.accdb[Fecha],"&gt;"&amp;Sucursal_Semanal!$B$4,Tabla_Registro_de_movimientos_app.accdb[Fecha],"&lt;="&amp;Sucursal_Semanal!$C$4)</f>
        <v>0</v>
      </c>
      <c r="C22" s="194" t="e">
        <f t="shared" si="19"/>
        <v>#DIV/0!</v>
      </c>
      <c r="D22">
        <f>SUMIFS(Tabla_Registro_de_movimientos_app.accdb[Importe_Inventario_F],Tabla_Registro_de_movimientos_app.accdb[Sucursal],Sucursal_Semanal!D$5,Tabla_Registro_de_movimientos_app.accdb[Detalle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E22" s="194" t="e">
        <f t="shared" si="22"/>
        <v>#DIV/0!</v>
      </c>
      <c r="F22">
        <f>SUMIFS(Tabla_Registro_de_movimientos_app.accdb[Importe_Inventario_F],Tabla_Registro_de_movimientos_app.accdb[Sucursal],Sucursal_Semanal!F$5,Tabla_Registro_de_movimientos_app.accdb[Detalle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G22" s="194" t="e">
        <f t="shared" si="23"/>
        <v>#DIV/0!</v>
      </c>
      <c r="H22">
        <f>SUMIFS(Tabla_Registro_de_movimientos_app.accdb[Importe_Inventario_F],Tabla_Registro_de_movimientos_app.accdb[Sucursal],Sucursal_Semanal!H$5,Tabla_Registro_de_movimientos_app.accdb[Detalle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I22" s="194" t="e">
        <f t="shared" si="24"/>
        <v>#DIV/0!</v>
      </c>
      <c r="J22">
        <f>SUMIFS(Tabla_Registro_de_movimientos_app.accdb[Importe_Inventario_F],Tabla_Registro_de_movimientos_app.accdb[Sucursal],Sucursal_Semanal!J$5,Tabla_Registro_de_movimientos_app.accdb[Detalle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K22" s="194" t="e">
        <f t="shared" si="25"/>
        <v>#DIV/0!</v>
      </c>
      <c r="L22">
        <f>SUMIFS(Tabla_Registro_de_movimientos_app.accdb[Importe_Inventario_F],Tabla_Registro_de_movimientos_app.accdb[Sucursal],Sucursal_Semanal!L$5,Tabla_Registro_de_movimientos_app.accdb[Detalle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M22" s="194" t="e">
        <f t="shared" si="26"/>
        <v>#DIV/0!</v>
      </c>
      <c r="N22">
        <f>SUMIFS(Tabla_Registro_de_movimientos_app.accdb[Importe_Inventario_F],Tabla_Registro_de_movimientos_app.accdb[Sucursal],Sucursal_Semanal!N$5,Tabla_Registro_de_movimientos_app.accdb[Detalle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O22" s="194" t="e">
        <f t="shared" si="27"/>
        <v>#DIV/0!</v>
      </c>
      <c r="P22">
        <f>SUMIFS(Tabla_Registro_de_movimientos_app.accdb[Importe_Inventario_F],Tabla_Registro_de_movimientos_app.accdb[Sucursal],Sucursal_Semanal!P$5,Tabla_Registro_de_movimientos_app.accdb[Detalle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Q22" s="194" t="e">
        <f t="shared" si="28"/>
        <v>#DIV/0!</v>
      </c>
      <c r="R22">
        <f>SUMIFS(Tabla_Registro_de_movimientos_app.accdb[Importe_Inventario_F],Tabla_Registro_de_movimientos_app.accdb[Sucursal],Sucursal_Semanal!R$5,Tabla_Registro_de_movimientos_app.accdb[Detalle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S22" s="194" t="e">
        <f t="shared" si="29"/>
        <v>#DIV/0!</v>
      </c>
      <c r="T22">
        <f>SUMIFS(Tabla_Registro_de_movimientos_app.accdb[Importe_Inventario_F],Tabla_Registro_de_movimientos_app.accdb[Sucursal],Sucursal_Semanal!T$5,Tabla_Registro_de_movimientos_app.accdb[Detalle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U22" s="194" t="e">
        <f t="shared" si="30"/>
        <v>#DIV/0!</v>
      </c>
      <c r="V22">
        <f>SUMIFS(Tabla_Registro_de_movimientos_app.accdb[Importe_Inventario_F],Tabla_Registro_de_movimientos_app.accdb[Sucursal],Sucursal_Semanal!V$5,Tabla_Registro_de_movimientos_app.accdb[Detalle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W22" s="194" t="e">
        <f t="shared" si="31"/>
        <v>#DIV/0!</v>
      </c>
      <c r="X22">
        <f>SUMIFS(Tabla_Registro_de_movimientos_app.accdb[Importe_Inventario_F],Tabla_Registro_de_movimientos_app.accdb[Sucursal],Sucursal_Semanal!X$5,Tabla_Registro_de_movimientos_app.accdb[Detalle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Y22" s="194" t="e">
        <f t="shared" si="32"/>
        <v>#DIV/0!</v>
      </c>
      <c r="Z22">
        <f>SUMIFS(Tabla_Registro_de_movimientos_app.accdb[Importe_Inventario_F],Tabla_Registro_de_movimientos_app.accdb[Sucursal],Sucursal_Semanal!Z$5,Tabla_Registro_de_movimientos_app.accdb[Detalle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A22" s="194" t="e">
        <f t="shared" si="33"/>
        <v>#DIV/0!</v>
      </c>
      <c r="AB22">
        <f>SUMIFS(Tabla_Registro_de_movimientos_app.accdb[Importe_Inventario_F],Tabla_Registro_de_movimientos_app.accdb[Sucursal],Sucursal_Semanal!AB$5,Tabla_Registro_de_movimientos_app.accdb[Detalle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C22" s="194" t="e">
        <f t="shared" si="34"/>
        <v>#DIV/0!</v>
      </c>
      <c r="AD22">
        <f>SUMIFS(Tabla_Registro_de_movimientos_app.accdb[Importe_Inventario_F],Tabla_Registro_de_movimientos_app.accdb[Sucursal],Sucursal_Semanal!AD$5,Tabla_Registro_de_movimientos_app.accdb[Detalle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E22" s="194" t="e">
        <f t="shared" si="35"/>
        <v>#DIV/0!</v>
      </c>
      <c r="AF22">
        <f>SUMIFS(Tabla_Registro_de_movimientos_app.accdb[Importe_Inventario_F],Tabla_Registro_de_movimientos_app.accdb[Sucursal],Sucursal_Semanal!AF$5,Tabla_Registro_de_movimientos_app.accdb[Detalle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G22" s="194" t="e">
        <f t="shared" si="36"/>
        <v>#DIV/0!</v>
      </c>
      <c r="AH22">
        <f>SUMIFS(Tabla_Registro_de_movimientos_app.accdb[Importe_Inventario_F],Tabla_Registro_de_movimientos_app.accdb[Sucursal],Sucursal_Semanal!AH$5,Tabla_Registro_de_movimientos_app.accdb[Detalle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I22" s="194" t="e">
        <f t="shared" si="37"/>
        <v>#DIV/0!</v>
      </c>
      <c r="AJ22">
        <f>SUMIFS(Tabla_Registro_de_movimientos_app.accdb[Importe_Inventario_F],Tabla_Registro_de_movimientos_app.accdb[Sucursal],Sucursal_Semanal!AJ$5,Tabla_Registro_de_movimientos_app.accdb[Detalle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K22" s="194" t="e">
        <f t="shared" si="38"/>
        <v>#DIV/0!</v>
      </c>
      <c r="AM22" s="188">
        <f t="shared" si="20"/>
        <v>0</v>
      </c>
      <c r="AN22" s="189" t="e">
        <f t="shared" si="21"/>
        <v>#DIV/0!</v>
      </c>
    </row>
    <row r="23" spans="1:40" x14ac:dyDescent="0.25">
      <c r="A23" t="s">
        <v>57</v>
      </c>
      <c r="B23">
        <f>SUMIFS(Tabla_Registro_de_movimientos_app.accdb[Importe_Costo],Tabla_Registro_de_movimientos_app.accdb[Sucursal],Sucursal_Semanal!$B$5,Tabla_Registro_de_movimientos_app.accdb[Detalle de movimiento],Sucursal_Semanal!A23,Tabla_Registro_de_movimientos_app.accdb[Fecha],"&gt;"&amp;Sucursal_Semanal!$B$4,Tabla_Registro_de_movimientos_app.accdb[Fecha],"&lt;="&amp;Sucursal_Semanal!$C$4)</f>
        <v>0</v>
      </c>
      <c r="C23" s="194" t="e">
        <f t="shared" si="19"/>
        <v>#DIV/0!</v>
      </c>
      <c r="D23">
        <f>SUMIFS(Tabla_Registro_de_movimientos_app.accdb[Importe_Costo],Tabla_Registro_de_movimientos_app.accdb[Sucursal],Sucursal_Semanal!D$5,Tabla_Registro_de_movimientos_app.accdb[Detalle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E23" s="194" t="e">
        <f t="shared" si="22"/>
        <v>#DIV/0!</v>
      </c>
      <c r="F23">
        <f>SUMIFS(Tabla_Registro_de_movimientos_app.accdb[Importe_Costo],Tabla_Registro_de_movimientos_app.accdb[Sucursal],Sucursal_Semanal!F$5,Tabla_Registro_de_movimientos_app.accdb[Detalle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G23" s="194" t="e">
        <f t="shared" si="23"/>
        <v>#DIV/0!</v>
      </c>
      <c r="H23">
        <f>SUMIFS(Tabla_Registro_de_movimientos_app.accdb[Importe_Costo],Tabla_Registro_de_movimientos_app.accdb[Sucursal],Sucursal_Semanal!H$5,Tabla_Registro_de_movimientos_app.accdb[Detalle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I23" s="194" t="e">
        <f t="shared" si="24"/>
        <v>#DIV/0!</v>
      </c>
      <c r="J23">
        <f>SUMIFS(Tabla_Registro_de_movimientos_app.accdb[Importe_Costo],Tabla_Registro_de_movimientos_app.accdb[Sucursal],Sucursal_Semanal!J$5,Tabla_Registro_de_movimientos_app.accdb[Detalle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K23" s="194" t="e">
        <f t="shared" si="25"/>
        <v>#DIV/0!</v>
      </c>
      <c r="L23">
        <f>SUMIFS(Tabla_Registro_de_movimientos_app.accdb[Importe_Costo],Tabla_Registro_de_movimientos_app.accdb[Sucursal],Sucursal_Semanal!L$5,Tabla_Registro_de_movimientos_app.accdb[Detalle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M23" s="194" t="e">
        <f t="shared" si="26"/>
        <v>#DIV/0!</v>
      </c>
      <c r="N23">
        <f>SUMIFS(Tabla_Registro_de_movimientos_app.accdb[Importe_Costo],Tabla_Registro_de_movimientos_app.accdb[Sucursal],Sucursal_Semanal!N$5,Tabla_Registro_de_movimientos_app.accdb[Detalle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O23" s="194" t="e">
        <f t="shared" si="27"/>
        <v>#DIV/0!</v>
      </c>
      <c r="P23">
        <f>SUMIFS(Tabla_Registro_de_movimientos_app.accdb[Importe_Costo],Tabla_Registro_de_movimientos_app.accdb[Sucursal],Sucursal_Semanal!P$5,Tabla_Registro_de_movimientos_app.accdb[Detalle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Q23" s="194" t="e">
        <f t="shared" si="28"/>
        <v>#DIV/0!</v>
      </c>
      <c r="R23">
        <f>SUMIFS(Tabla_Registro_de_movimientos_app.accdb[Importe_Costo],Tabla_Registro_de_movimientos_app.accdb[Sucursal],Sucursal_Semanal!R$5,Tabla_Registro_de_movimientos_app.accdb[Detalle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S23" s="194" t="e">
        <f t="shared" si="29"/>
        <v>#DIV/0!</v>
      </c>
      <c r="T23">
        <f>SUMIFS(Tabla_Registro_de_movimientos_app.accdb[Importe_Costo],Tabla_Registro_de_movimientos_app.accdb[Sucursal],Sucursal_Semanal!T$5,Tabla_Registro_de_movimientos_app.accdb[Detalle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U23" s="194" t="e">
        <f t="shared" si="30"/>
        <v>#DIV/0!</v>
      </c>
      <c r="V23">
        <f>SUMIFS(Tabla_Registro_de_movimientos_app.accdb[Importe_Costo],Tabla_Registro_de_movimientos_app.accdb[Sucursal],Sucursal_Semanal!V$5,Tabla_Registro_de_movimientos_app.accdb[Detalle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W23" s="194" t="e">
        <f t="shared" si="31"/>
        <v>#DIV/0!</v>
      </c>
      <c r="X23">
        <f>SUMIFS(Tabla_Registro_de_movimientos_app.accdb[Importe_Costo],Tabla_Registro_de_movimientos_app.accdb[Sucursal],Sucursal_Semanal!X$5,Tabla_Registro_de_movimientos_app.accdb[Detalle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Y23" s="194" t="e">
        <f t="shared" si="32"/>
        <v>#DIV/0!</v>
      </c>
      <c r="Z23">
        <f>SUMIFS(Tabla_Registro_de_movimientos_app.accdb[Importe_Costo],Tabla_Registro_de_movimientos_app.accdb[Sucursal],Sucursal_Semanal!Z$5,Tabla_Registro_de_movimientos_app.accdb[Detalle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A23" s="194" t="e">
        <f t="shared" si="33"/>
        <v>#DIV/0!</v>
      </c>
      <c r="AB23">
        <f>SUMIFS(Tabla_Registro_de_movimientos_app.accdb[Importe_Costo],Tabla_Registro_de_movimientos_app.accdb[Sucursal],Sucursal_Semanal!AB$5,Tabla_Registro_de_movimientos_app.accdb[Detalle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C23" s="194" t="e">
        <f t="shared" si="34"/>
        <v>#DIV/0!</v>
      </c>
      <c r="AD23">
        <f>SUMIFS(Tabla_Registro_de_movimientos_app.accdb[Importe_Costo],Tabla_Registro_de_movimientos_app.accdb[Sucursal],Sucursal_Semanal!AD$5,Tabla_Registro_de_movimientos_app.accdb[Detalle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E23" s="194" t="e">
        <f t="shared" si="35"/>
        <v>#DIV/0!</v>
      </c>
      <c r="AF23">
        <f>SUMIFS(Tabla_Registro_de_movimientos_app.accdb[Importe_Costo],Tabla_Registro_de_movimientos_app.accdb[Sucursal],Sucursal_Semanal!AF$5,Tabla_Registro_de_movimientos_app.accdb[Detalle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G23" s="194" t="e">
        <f t="shared" si="36"/>
        <v>#DIV/0!</v>
      </c>
      <c r="AH23">
        <f>SUMIFS(Tabla_Registro_de_movimientos_app.accdb[Importe_Costo],Tabla_Registro_de_movimientos_app.accdb[Sucursal],Sucursal_Semanal!AH$5,Tabla_Registro_de_movimientos_app.accdb[Detalle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I23" s="194" t="e">
        <f t="shared" si="37"/>
        <v>#DIV/0!</v>
      </c>
      <c r="AJ23">
        <f>SUMIFS(Tabla_Registro_de_movimientos_app.accdb[Importe_Costo],Tabla_Registro_de_movimientos_app.accdb[Sucursal],Sucursal_Semanal!AJ$5,Tabla_Registro_de_movimientos_app.accdb[Detalle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K23" s="194" t="e">
        <f t="shared" si="38"/>
        <v>#DIV/0!</v>
      </c>
      <c r="AM23" s="188">
        <f t="shared" si="20"/>
        <v>0</v>
      </c>
      <c r="AN23" s="189" t="e">
        <f t="shared" si="21"/>
        <v>#DIV/0!</v>
      </c>
    </row>
    <row r="24" spans="1:40" ht="15.75" thickBot="1" x14ac:dyDescent="0.3">
      <c r="A24" s="8" t="s">
        <v>58</v>
      </c>
      <c r="B24" s="8">
        <f>SUM(B16:B23)</f>
        <v>0</v>
      </c>
      <c r="C24" s="195" t="e">
        <f>SUM(C16:C23)</f>
        <v>#DIV/0!</v>
      </c>
      <c r="D24" s="8">
        <f>SUM(D16:D23)</f>
        <v>0</v>
      </c>
      <c r="E24" s="8"/>
      <c r="F24" s="8">
        <f>SUM(F16:F23)</f>
        <v>0</v>
      </c>
      <c r="G24" s="195" t="e">
        <f>SUM(G16:G23)</f>
        <v>#DIV/0!</v>
      </c>
      <c r="H24" s="8">
        <f>SUM(H16:H23)</f>
        <v>0</v>
      </c>
      <c r="I24" s="8"/>
      <c r="J24" s="8">
        <f>SUM(J16:J23)</f>
        <v>0</v>
      </c>
      <c r="K24" s="8"/>
      <c r="L24" s="8">
        <f>SUM(L16:L23)</f>
        <v>0</v>
      </c>
      <c r="M24" s="8"/>
      <c r="N24" s="8">
        <f>SUM(N16:N23)</f>
        <v>0</v>
      </c>
      <c r="O24" s="8"/>
      <c r="P24" s="8">
        <f>SUM(P16:P23)</f>
        <v>0</v>
      </c>
      <c r="Q24" s="8"/>
      <c r="R24" s="8">
        <f>SUM(R16:R23)</f>
        <v>0</v>
      </c>
      <c r="S24" s="8"/>
      <c r="T24" s="8">
        <f>SUM(T16:T23)</f>
        <v>0</v>
      </c>
      <c r="U24" s="8"/>
      <c r="V24" s="8">
        <f>SUM(V16:V23)</f>
        <v>0</v>
      </c>
      <c r="W24" s="8"/>
      <c r="X24" s="8">
        <f>SUM(X16:X23)</f>
        <v>0</v>
      </c>
      <c r="Y24" s="8"/>
      <c r="Z24" s="8">
        <f>SUM(Z16:Z23)</f>
        <v>0</v>
      </c>
      <c r="AA24" s="8"/>
      <c r="AB24" s="8">
        <f>SUM(AB16:AB23)</f>
        <v>0</v>
      </c>
      <c r="AC24" s="8"/>
      <c r="AD24" s="8">
        <f>SUM(AD16:AD23)</f>
        <v>0</v>
      </c>
      <c r="AE24" s="8"/>
      <c r="AF24" s="8">
        <f>SUM(AF16:AF23)</f>
        <v>0</v>
      </c>
      <c r="AG24" s="8"/>
      <c r="AH24" s="8">
        <f>SUM(AH16:AH23)</f>
        <v>0</v>
      </c>
      <c r="AI24" s="8"/>
      <c r="AJ24" s="8">
        <f>SUM(AJ16:AJ23)</f>
        <v>0</v>
      </c>
      <c r="AK24" s="8"/>
      <c r="AL24" s="8"/>
      <c r="AM24" s="192">
        <f>SUM(AM16:AM23)</f>
        <v>0</v>
      </c>
      <c r="AN24" s="196" t="e">
        <f>AM24/AM13</f>
        <v>#DIV/0!</v>
      </c>
    </row>
    <row r="25" spans="1:40" ht="15.75" thickTop="1" x14ac:dyDescent="0.25"/>
    <row r="26" spans="1:40" ht="15.75" thickBot="1" x14ac:dyDescent="0.3">
      <c r="A26" t="s">
        <v>59</v>
      </c>
      <c r="B26" s="6">
        <f>B13-B24</f>
        <v>0</v>
      </c>
      <c r="C26" s="194" t="e">
        <f>B26/B13</f>
        <v>#DIV/0!</v>
      </c>
      <c r="D26" s="6">
        <f>D13-D24</f>
        <v>0</v>
      </c>
      <c r="E26" s="194" t="e">
        <f>D26/D13</f>
        <v>#DIV/0!</v>
      </c>
      <c r="F26" s="6">
        <f>F13-F24</f>
        <v>0</v>
      </c>
      <c r="G26" s="194" t="e">
        <f>F26/F13</f>
        <v>#DIV/0!</v>
      </c>
      <c r="H26" s="6">
        <f>H13-H24</f>
        <v>0</v>
      </c>
      <c r="I26" s="194" t="e">
        <f>H26/H13</f>
        <v>#DIV/0!</v>
      </c>
      <c r="J26" s="6">
        <f>J13-J24</f>
        <v>0</v>
      </c>
      <c r="K26" s="194" t="e">
        <f>J26/J13</f>
        <v>#DIV/0!</v>
      </c>
      <c r="L26" s="6">
        <f>L13-L24</f>
        <v>0</v>
      </c>
      <c r="M26" s="194" t="e">
        <f>L26/L13</f>
        <v>#DIV/0!</v>
      </c>
      <c r="N26" s="6">
        <f>N13-N24</f>
        <v>0</v>
      </c>
      <c r="O26" s="194" t="e">
        <f>N26/N13</f>
        <v>#DIV/0!</v>
      </c>
      <c r="P26" s="6">
        <f>P13-P24</f>
        <v>0</v>
      </c>
      <c r="Q26" s="194" t="e">
        <f>P26/P13</f>
        <v>#DIV/0!</v>
      </c>
      <c r="R26" s="6">
        <f>R13-R24</f>
        <v>0</v>
      </c>
      <c r="S26" s="194" t="e">
        <f>R26/R13</f>
        <v>#DIV/0!</v>
      </c>
      <c r="T26" s="6">
        <f>T13-T24</f>
        <v>0</v>
      </c>
      <c r="U26" s="194" t="e">
        <f>T26/T13</f>
        <v>#DIV/0!</v>
      </c>
      <c r="V26" s="6">
        <f>V13-V24</f>
        <v>0</v>
      </c>
      <c r="W26" s="194" t="e">
        <f>V26/V13</f>
        <v>#DIV/0!</v>
      </c>
      <c r="X26" s="6">
        <f>X13-X24</f>
        <v>0</v>
      </c>
      <c r="Y26" s="194" t="e">
        <f>X26/X13</f>
        <v>#DIV/0!</v>
      </c>
      <c r="Z26" s="6">
        <f>Z13-Z24</f>
        <v>0</v>
      </c>
      <c r="AA26" s="194" t="e">
        <f>Z26/Z13</f>
        <v>#DIV/0!</v>
      </c>
      <c r="AB26" s="6">
        <f>AB13-AB24</f>
        <v>0</v>
      </c>
      <c r="AC26" s="194" t="e">
        <f>AB26/AB13</f>
        <v>#DIV/0!</v>
      </c>
      <c r="AD26" s="6">
        <f>AD13-AD24</f>
        <v>0</v>
      </c>
      <c r="AE26" s="194" t="e">
        <f>AD26/AD13</f>
        <v>#DIV/0!</v>
      </c>
      <c r="AF26" s="6">
        <f>AF13-AF24</f>
        <v>0</v>
      </c>
      <c r="AG26" s="194" t="e">
        <f>AF26/AF13</f>
        <v>#DIV/0!</v>
      </c>
      <c r="AH26" s="6">
        <f>AH13-AH24</f>
        <v>0</v>
      </c>
      <c r="AI26" s="194" t="e">
        <f>AH26/AH13</f>
        <v>#DIV/0!</v>
      </c>
      <c r="AJ26" s="6">
        <f>AJ13-AJ24</f>
        <v>0</v>
      </c>
      <c r="AK26" s="194" t="e">
        <f>AJ26/AJ13</f>
        <v>#DIV/0!</v>
      </c>
      <c r="AM26" s="192">
        <f>SUM(B26,D26,F26,H26,J26,L26,N26,P26,R26,T26,V26,X26,Z26,AB26,AD26,AF26,AH26,AJ26)</f>
        <v>0</v>
      </c>
      <c r="AN26" s="197" t="e">
        <f>AM26/AM13</f>
        <v>#DIV/0!</v>
      </c>
    </row>
    <row r="27" spans="1:40" ht="15.75" thickTop="1" x14ac:dyDescent="0.25"/>
    <row r="28" spans="1:40" x14ac:dyDescent="0.25">
      <c r="A28" s="7" t="s">
        <v>60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t="s">
        <v>118</v>
      </c>
      <c r="B29">
        <f>SUMIFS(Tabla_Registro_de_movimientos_app.accdb[Importe_Gasto],Tabla_Registro_de_movimientos_app.accdb[Sucursal],Sucursal_Semanal!$B$5,Tabla_Registro_de_movimientos_app.accdb[Detalle de movimiento],Sucursal_Semanal!A29,Tabla_Registro_de_movimientos_app.accdb[Fecha],"&gt;"&amp;Sucursal_Semanal!$B$4,Tabla_Registro_de_movimientos_app.accdb[Fecha],"&lt;="&amp;Sucursal_Semanal!$C$4)</f>
        <v>0</v>
      </c>
      <c r="C29" s="187" t="e">
        <f>B29/$B$33</f>
        <v>#DIV/0!</v>
      </c>
      <c r="D29">
        <f>SUMIFS(Tabla_Registro_de_movimientos_app.accdb[Importe_Gasto],Tabla_Registro_de_movimientos_app.accdb[Sucursal],Sucursal_Semanal!D$5,Tabla_Registro_de_movimientos_app.accdb[Detalle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E29" s="194" t="e">
        <f>D29/$D$33</f>
        <v>#DIV/0!</v>
      </c>
      <c r="F29">
        <f>SUMIFS(Tabla_Registro_de_movimientos_app.accdb[Importe_Gasto],Tabla_Registro_de_movimientos_app.accdb[Sucursal],Sucursal_Semanal!F$5,Tabla_Registro_de_movimientos_app.accdb[Detalle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G29" s="194" t="e">
        <f>F29/F$33</f>
        <v>#DIV/0!</v>
      </c>
      <c r="H29">
        <f>SUMIFS(Tabla_Registro_de_movimientos_app.accdb[Importe_Gasto],Tabla_Registro_de_movimientos_app.accdb[Sucursal],Sucursal_Semanal!H$5,Tabla_Registro_de_movimientos_app.accdb[Detalle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I29" s="194" t="e">
        <f>H29/H$33</f>
        <v>#DIV/0!</v>
      </c>
      <c r="J29">
        <f>SUMIFS(Tabla_Registro_de_movimientos_app.accdb[Importe_Gasto],Tabla_Registro_de_movimientos_app.accdb[Sucursal],Sucursal_Semanal!J$5,Tabla_Registro_de_movimientos_app.accdb[Detalle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K29" s="194" t="e">
        <f>J29/J$33</f>
        <v>#DIV/0!</v>
      </c>
      <c r="L29">
        <f>SUMIFS(Tabla_Registro_de_movimientos_app.accdb[Importe_Gasto],Tabla_Registro_de_movimientos_app.accdb[Sucursal],Sucursal_Semanal!L$5,Tabla_Registro_de_movimientos_app.accdb[Detalle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M29" s="194" t="e">
        <f>L29/L$33</f>
        <v>#DIV/0!</v>
      </c>
      <c r="N29">
        <f>SUMIFS(Tabla_Registro_de_movimientos_app.accdb[Importe_Gasto],Tabla_Registro_de_movimientos_app.accdb[Sucursal],Sucursal_Semanal!N$5,Tabla_Registro_de_movimientos_app.accdb[Detalle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O29" s="194" t="e">
        <f>N29/N$33</f>
        <v>#DIV/0!</v>
      </c>
      <c r="P29">
        <f>SUMIFS(Tabla_Registro_de_movimientos_app.accdb[Importe_Gasto],Tabla_Registro_de_movimientos_app.accdb[Sucursal],Sucursal_Semanal!P$5,Tabla_Registro_de_movimientos_app.accdb[Detalle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Q29" s="194" t="e">
        <f>P29/P$33</f>
        <v>#DIV/0!</v>
      </c>
      <c r="R29">
        <f>SUMIFS(Tabla_Registro_de_movimientos_app.accdb[Importe_Gasto],Tabla_Registro_de_movimientos_app.accdb[Sucursal],Sucursal_Semanal!R$5,Tabla_Registro_de_movimientos_app.accdb[Detalle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S29" s="194" t="e">
        <f>R29/R$33</f>
        <v>#DIV/0!</v>
      </c>
      <c r="T29">
        <f>SUMIFS(Tabla_Registro_de_movimientos_app.accdb[Importe_Gasto],Tabla_Registro_de_movimientos_app.accdb[Sucursal],Sucursal_Semanal!T$5,Tabla_Registro_de_movimientos_app.accdb[Detalle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U29" s="194" t="e">
        <f>T29/T$33</f>
        <v>#DIV/0!</v>
      </c>
      <c r="V29">
        <f>SUMIFS(Tabla_Registro_de_movimientos_app.accdb[Importe_Gasto],Tabla_Registro_de_movimientos_app.accdb[Sucursal],Sucursal_Semanal!V$5,Tabla_Registro_de_movimientos_app.accdb[Detalle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W29" s="194" t="e">
        <f>V29/V$33</f>
        <v>#DIV/0!</v>
      </c>
      <c r="X29">
        <f>SUMIFS(Tabla_Registro_de_movimientos_app.accdb[Importe_Gasto],Tabla_Registro_de_movimientos_app.accdb[Sucursal],Sucursal_Semanal!X$5,Tabla_Registro_de_movimientos_app.accdb[Detalle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Y29" s="194" t="e">
        <f>X29/X$33</f>
        <v>#DIV/0!</v>
      </c>
      <c r="Z29">
        <f>SUMIFS(Tabla_Registro_de_movimientos_app.accdb[Importe_Gasto],Tabla_Registro_de_movimientos_app.accdb[Sucursal],Sucursal_Semanal!Z$5,Tabla_Registro_de_movimientos_app.accdb[Detalle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A29" s="194" t="e">
        <f>Z29/Z$33</f>
        <v>#DIV/0!</v>
      </c>
      <c r="AB29">
        <f>SUMIFS(Tabla_Registro_de_movimientos_app.accdb[Importe_Gasto],Tabla_Registro_de_movimientos_app.accdb[Sucursal],Sucursal_Semanal!AB$5,Tabla_Registro_de_movimientos_app.accdb[Detalle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C29" s="194" t="e">
        <f>AB29/AB$33</f>
        <v>#DIV/0!</v>
      </c>
      <c r="AD29">
        <f>SUMIFS(Tabla_Registro_de_movimientos_app.accdb[Importe_Gasto],Tabla_Registro_de_movimientos_app.accdb[Sucursal],Sucursal_Semanal!AD$5,Tabla_Registro_de_movimientos_app.accdb[Detalle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E29" s="194" t="e">
        <f>AD29/AD$33</f>
        <v>#DIV/0!</v>
      </c>
      <c r="AF29">
        <f>SUMIFS(Tabla_Registro_de_movimientos_app.accdb[Importe_Gasto],Tabla_Registro_de_movimientos_app.accdb[Sucursal],Sucursal_Semanal!AF$5,Tabla_Registro_de_movimientos_app.accdb[Detalle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G29" s="194" t="e">
        <f>AF29/AF$33</f>
        <v>#DIV/0!</v>
      </c>
      <c r="AH29">
        <f>SUMIFS(Tabla_Registro_de_movimientos_app.accdb[Importe_Gasto],Tabla_Registro_de_movimientos_app.accdb[Sucursal],Sucursal_Semanal!AH$5,Tabla_Registro_de_movimientos_app.accdb[Detalle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I29" s="194" t="e">
        <f>AH29/AH$33</f>
        <v>#DIV/0!</v>
      </c>
      <c r="AJ29">
        <f>SUMIFS(Tabla_Registro_de_movimientos_app.accdb[Importe_Gasto],Tabla_Registro_de_movimientos_app.accdb[Sucursal],Sucursal_Semanal!AJ$5,Tabla_Registro_de_movimientos_app.accdb[Detalle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K29" s="194" t="e">
        <f>AJ29/AJ$33</f>
        <v>#DIV/0!</v>
      </c>
      <c r="AM29" s="188">
        <f>SUM(B29,D29,F29,H29,J29,L29,N29,P29,R29,T29,V29,X29,Z29,AB29,AD29,AF29,AH29,AJ29)</f>
        <v>0</v>
      </c>
      <c r="AN29" s="189" t="e">
        <f>AM29/$AM$33</f>
        <v>#DIV/0!</v>
      </c>
    </row>
    <row r="30" spans="1:40" x14ac:dyDescent="0.25">
      <c r="A30" t="s">
        <v>119</v>
      </c>
      <c r="B30">
        <f>SUMIFS(Tabla_Registro_de_movimientos_app.accdb[Importe_Gasto],Tabla_Registro_de_movimientos_app.accdb[Sucursal],Sucursal_Semanal!$B$5,Tabla_Registro_de_movimientos_app.accdb[Detalle de movimiento],Sucursal_Semanal!A30,Tabla_Registro_de_movimientos_app.accdb[Fecha],"&gt;"&amp;Sucursal_Semanal!$B$4,Tabla_Registro_de_movimientos_app.accdb[Fecha],"&lt;="&amp;Sucursal_Semanal!$C$4)</f>
        <v>0</v>
      </c>
      <c r="C30" s="187" t="e">
        <f t="shared" ref="C30:C32" si="39">B30/$B$33</f>
        <v>#DIV/0!</v>
      </c>
      <c r="D30">
        <f>SUMIFS(Tabla_Registro_de_movimientos_app.accdb[Importe_Gasto],Tabla_Registro_de_movimientos_app.accdb[Sucursal],Sucursal_Semanal!D$5,Tabla_Registro_de_movimientos_app.accdb[Detalle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E30" s="194" t="e">
        <f t="shared" ref="E30:E32" si="40">D30/$D$33</f>
        <v>#DIV/0!</v>
      </c>
      <c r="F30">
        <f>SUMIFS(Tabla_Registro_de_movimientos_app.accdb[Importe_Gasto],Tabla_Registro_de_movimientos_app.accdb[Sucursal],Sucursal_Semanal!F$5,Tabla_Registro_de_movimientos_app.accdb[Detalle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G30" s="194" t="e">
        <f t="shared" ref="G30:I32" si="41">F30/F$33</f>
        <v>#DIV/0!</v>
      </c>
      <c r="H30">
        <f>SUMIFS(Tabla_Registro_de_movimientos_app.accdb[Importe_Gasto],Tabla_Registro_de_movimientos_app.accdb[Sucursal],Sucursal_Semanal!H$5,Tabla_Registro_de_movimientos_app.accdb[Detalle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I30" s="194" t="e">
        <f t="shared" si="41"/>
        <v>#DIV/0!</v>
      </c>
      <c r="J30">
        <f>SUMIFS(Tabla_Registro_de_movimientos_app.accdb[Importe_Gasto],Tabla_Registro_de_movimientos_app.accdb[Sucursal],Sucursal_Semanal!J$5,Tabla_Registro_de_movimientos_app.accdb[Detalle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K30" s="194" t="e">
        <f t="shared" ref="K30:K32" si="42">J30/J$33</f>
        <v>#DIV/0!</v>
      </c>
      <c r="L30">
        <f>SUMIFS(Tabla_Registro_de_movimientos_app.accdb[Importe_Gasto],Tabla_Registro_de_movimientos_app.accdb[Sucursal],Sucursal_Semanal!L$5,Tabla_Registro_de_movimientos_app.accdb[Detalle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M30" s="194" t="e">
        <f t="shared" ref="M30:M32" si="43">L30/L$33</f>
        <v>#DIV/0!</v>
      </c>
      <c r="N30">
        <f>SUMIFS(Tabla_Registro_de_movimientos_app.accdb[Importe_Gasto],Tabla_Registro_de_movimientos_app.accdb[Sucursal],Sucursal_Semanal!N$5,Tabla_Registro_de_movimientos_app.accdb[Detalle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O30" s="194" t="e">
        <f t="shared" ref="O30:O32" si="44">N30/N$33</f>
        <v>#DIV/0!</v>
      </c>
      <c r="P30">
        <f>SUMIFS(Tabla_Registro_de_movimientos_app.accdb[Importe_Gasto],Tabla_Registro_de_movimientos_app.accdb[Sucursal],Sucursal_Semanal!P$5,Tabla_Registro_de_movimientos_app.accdb[Detalle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Q30" s="194" t="e">
        <f t="shared" ref="Q30:Q32" si="45">P30/P$33</f>
        <v>#DIV/0!</v>
      </c>
      <c r="R30">
        <f>SUMIFS(Tabla_Registro_de_movimientos_app.accdb[Importe_Gasto],Tabla_Registro_de_movimientos_app.accdb[Sucursal],Sucursal_Semanal!R$5,Tabla_Registro_de_movimientos_app.accdb[Detalle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S30" s="194" t="e">
        <f t="shared" ref="S30:S32" si="46">R30/R$33</f>
        <v>#DIV/0!</v>
      </c>
      <c r="T30">
        <f>SUMIFS(Tabla_Registro_de_movimientos_app.accdb[Importe_Gasto],Tabla_Registro_de_movimientos_app.accdb[Sucursal],Sucursal_Semanal!T$5,Tabla_Registro_de_movimientos_app.accdb[Detalle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U30" s="194" t="e">
        <f t="shared" ref="U30:U32" si="47">T30/T$33</f>
        <v>#DIV/0!</v>
      </c>
      <c r="V30">
        <f>SUMIFS(Tabla_Registro_de_movimientos_app.accdb[Importe_Gasto],Tabla_Registro_de_movimientos_app.accdb[Sucursal],Sucursal_Semanal!V$5,Tabla_Registro_de_movimientos_app.accdb[Detalle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W30" s="194" t="e">
        <f t="shared" ref="W30:W32" si="48">V30/V$33</f>
        <v>#DIV/0!</v>
      </c>
      <c r="X30">
        <f>SUMIFS(Tabla_Registro_de_movimientos_app.accdb[Importe_Gasto],Tabla_Registro_de_movimientos_app.accdb[Sucursal],Sucursal_Semanal!X$5,Tabla_Registro_de_movimientos_app.accdb[Detalle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Y30" s="194" t="e">
        <f t="shared" ref="Y30:Y32" si="49">X30/X$33</f>
        <v>#DIV/0!</v>
      </c>
      <c r="Z30">
        <f>SUMIFS(Tabla_Registro_de_movimientos_app.accdb[Importe_Gasto],Tabla_Registro_de_movimientos_app.accdb[Sucursal],Sucursal_Semanal!Z$5,Tabla_Registro_de_movimientos_app.accdb[Detalle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A30" s="194" t="e">
        <f t="shared" ref="AA30:AA32" si="50">Z30/Z$33</f>
        <v>#DIV/0!</v>
      </c>
      <c r="AB30">
        <f>SUMIFS(Tabla_Registro_de_movimientos_app.accdb[Importe_Gasto],Tabla_Registro_de_movimientos_app.accdb[Sucursal],Sucursal_Semanal!AB$5,Tabla_Registro_de_movimientos_app.accdb[Detalle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C30" s="194" t="e">
        <f t="shared" ref="AC30:AC32" si="51">AB30/AB$33</f>
        <v>#DIV/0!</v>
      </c>
      <c r="AD30">
        <f>SUMIFS(Tabla_Registro_de_movimientos_app.accdb[Importe_Gasto],Tabla_Registro_de_movimientos_app.accdb[Sucursal],Sucursal_Semanal!AD$5,Tabla_Registro_de_movimientos_app.accdb[Detalle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E30" s="194" t="e">
        <f t="shared" ref="AE30:AE32" si="52">AD30/AD$33</f>
        <v>#DIV/0!</v>
      </c>
      <c r="AF30">
        <f>SUMIFS(Tabla_Registro_de_movimientos_app.accdb[Importe_Gasto],Tabla_Registro_de_movimientos_app.accdb[Sucursal],Sucursal_Semanal!AF$5,Tabla_Registro_de_movimientos_app.accdb[Detalle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G30" s="194" t="e">
        <f t="shared" ref="AG30:AG32" si="53">AF30/AF$33</f>
        <v>#DIV/0!</v>
      </c>
      <c r="AH30">
        <f>SUMIFS(Tabla_Registro_de_movimientos_app.accdb[Importe_Gasto],Tabla_Registro_de_movimientos_app.accdb[Sucursal],Sucursal_Semanal!AH$5,Tabla_Registro_de_movimientos_app.accdb[Detalle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I30" s="194" t="e">
        <f t="shared" ref="AI30:AI32" si="54">AH30/AH$33</f>
        <v>#DIV/0!</v>
      </c>
      <c r="AJ30">
        <f>SUMIFS(Tabla_Registro_de_movimientos_app.accdb[Importe_Gasto],Tabla_Registro_de_movimientos_app.accdb[Sucursal],Sucursal_Semanal!AJ$5,Tabla_Registro_de_movimientos_app.accdb[Detalle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K30" s="194" t="e">
        <f t="shared" ref="AK30:AK32" si="55">AJ30/AJ$33</f>
        <v>#DIV/0!</v>
      </c>
      <c r="AM30" s="188">
        <f t="shared" ref="AM30:AM32" si="56">SUM(B30,D30,F30,H30,J30,L30,N30,P30,R30,T30,V30,X30,Z30,AB30,AD30,AF30,AH30,AJ30)</f>
        <v>0</v>
      </c>
      <c r="AN30" s="189" t="e">
        <f t="shared" ref="AN30:AN32" si="57">AM30/$AM$33</f>
        <v>#DIV/0!</v>
      </c>
    </row>
    <row r="31" spans="1:40" x14ac:dyDescent="0.25">
      <c r="A31" t="s">
        <v>120</v>
      </c>
      <c r="B31">
        <f>SUMIFS(Tabla_Registro_de_movimientos_app.accdb[Importe_Gasto],Tabla_Registro_de_movimientos_app.accdb[Sucursal],Sucursal_Semanal!$B$5,Tabla_Registro_de_movimientos_app.accdb[Detalle de movimiento],Sucursal_Semanal!A31,Tabla_Registro_de_movimientos_app.accdb[Fecha],"&gt;"&amp;Sucursal_Semanal!$B$4,Tabla_Registro_de_movimientos_app.accdb[Fecha],"&lt;="&amp;Sucursal_Semanal!$C$4)</f>
        <v>0</v>
      </c>
      <c r="C31" s="187" t="e">
        <f t="shared" si="39"/>
        <v>#DIV/0!</v>
      </c>
      <c r="D31">
        <f>SUMIFS(Tabla_Registro_de_movimientos_app.accdb[Importe_Gasto],Tabla_Registro_de_movimientos_app.accdb[Sucursal],Sucursal_Semanal!D$5,Tabla_Registro_de_movimientos_app.accdb[Detalle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E31" s="194" t="e">
        <f t="shared" si="40"/>
        <v>#DIV/0!</v>
      </c>
      <c r="F31">
        <f>SUMIFS(Tabla_Registro_de_movimientos_app.accdb[Importe_Gasto],Tabla_Registro_de_movimientos_app.accdb[Sucursal],Sucursal_Semanal!F$5,Tabla_Registro_de_movimientos_app.accdb[Detalle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G31" s="194" t="e">
        <f t="shared" si="41"/>
        <v>#DIV/0!</v>
      </c>
      <c r="H31">
        <f>SUMIFS(Tabla_Registro_de_movimientos_app.accdb[Importe_Gasto],Tabla_Registro_de_movimientos_app.accdb[Sucursal],Sucursal_Semanal!H$5,Tabla_Registro_de_movimientos_app.accdb[Detalle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I31" s="194" t="e">
        <f t="shared" si="41"/>
        <v>#DIV/0!</v>
      </c>
      <c r="J31">
        <f>SUMIFS(Tabla_Registro_de_movimientos_app.accdb[Importe_Gasto],Tabla_Registro_de_movimientos_app.accdb[Sucursal],Sucursal_Semanal!J$5,Tabla_Registro_de_movimientos_app.accdb[Detalle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K31" s="194" t="e">
        <f t="shared" si="42"/>
        <v>#DIV/0!</v>
      </c>
      <c r="L31">
        <f>SUMIFS(Tabla_Registro_de_movimientos_app.accdb[Importe_Gasto],Tabla_Registro_de_movimientos_app.accdb[Sucursal],Sucursal_Semanal!L$5,Tabla_Registro_de_movimientos_app.accdb[Detalle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M31" s="194" t="e">
        <f t="shared" si="43"/>
        <v>#DIV/0!</v>
      </c>
      <c r="N31">
        <f>SUMIFS(Tabla_Registro_de_movimientos_app.accdb[Importe_Gasto],Tabla_Registro_de_movimientos_app.accdb[Sucursal],Sucursal_Semanal!N$5,Tabla_Registro_de_movimientos_app.accdb[Detalle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O31" s="194" t="e">
        <f t="shared" si="44"/>
        <v>#DIV/0!</v>
      </c>
      <c r="P31">
        <f>SUMIFS(Tabla_Registro_de_movimientos_app.accdb[Importe_Gasto],Tabla_Registro_de_movimientos_app.accdb[Sucursal],Sucursal_Semanal!P$5,Tabla_Registro_de_movimientos_app.accdb[Detalle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Q31" s="194" t="e">
        <f t="shared" si="45"/>
        <v>#DIV/0!</v>
      </c>
      <c r="R31">
        <f>SUMIFS(Tabla_Registro_de_movimientos_app.accdb[Importe_Gasto],Tabla_Registro_de_movimientos_app.accdb[Sucursal],Sucursal_Semanal!R$5,Tabla_Registro_de_movimientos_app.accdb[Detalle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S31" s="194" t="e">
        <f t="shared" si="46"/>
        <v>#DIV/0!</v>
      </c>
      <c r="T31">
        <f>SUMIFS(Tabla_Registro_de_movimientos_app.accdb[Importe_Gasto],Tabla_Registro_de_movimientos_app.accdb[Sucursal],Sucursal_Semanal!T$5,Tabla_Registro_de_movimientos_app.accdb[Detalle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U31" s="194" t="e">
        <f t="shared" si="47"/>
        <v>#DIV/0!</v>
      </c>
      <c r="V31">
        <f>SUMIFS(Tabla_Registro_de_movimientos_app.accdb[Importe_Gasto],Tabla_Registro_de_movimientos_app.accdb[Sucursal],Sucursal_Semanal!V$5,Tabla_Registro_de_movimientos_app.accdb[Detalle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W31" s="194" t="e">
        <f t="shared" si="48"/>
        <v>#DIV/0!</v>
      </c>
      <c r="X31">
        <f>SUMIFS(Tabla_Registro_de_movimientos_app.accdb[Importe_Gasto],Tabla_Registro_de_movimientos_app.accdb[Sucursal],Sucursal_Semanal!X$5,Tabla_Registro_de_movimientos_app.accdb[Detalle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Y31" s="194" t="e">
        <f t="shared" si="49"/>
        <v>#DIV/0!</v>
      </c>
      <c r="Z31">
        <f>SUMIFS(Tabla_Registro_de_movimientos_app.accdb[Importe_Gasto],Tabla_Registro_de_movimientos_app.accdb[Sucursal],Sucursal_Semanal!Z$5,Tabla_Registro_de_movimientos_app.accdb[Detalle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A31" s="194" t="e">
        <f t="shared" si="50"/>
        <v>#DIV/0!</v>
      </c>
      <c r="AB31">
        <f>SUMIFS(Tabla_Registro_de_movimientos_app.accdb[Importe_Gasto],Tabla_Registro_de_movimientos_app.accdb[Sucursal],Sucursal_Semanal!AB$5,Tabla_Registro_de_movimientos_app.accdb[Detalle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C31" s="194" t="e">
        <f t="shared" si="51"/>
        <v>#DIV/0!</v>
      </c>
      <c r="AD31">
        <f>SUMIFS(Tabla_Registro_de_movimientos_app.accdb[Importe_Gasto],Tabla_Registro_de_movimientos_app.accdb[Sucursal],Sucursal_Semanal!AD$5,Tabla_Registro_de_movimientos_app.accdb[Detalle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E31" s="194" t="e">
        <f t="shared" si="52"/>
        <v>#DIV/0!</v>
      </c>
      <c r="AF31">
        <f>SUMIFS(Tabla_Registro_de_movimientos_app.accdb[Importe_Gasto],Tabla_Registro_de_movimientos_app.accdb[Sucursal],Sucursal_Semanal!AF$5,Tabla_Registro_de_movimientos_app.accdb[Detalle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G31" s="194" t="e">
        <f t="shared" si="53"/>
        <v>#DIV/0!</v>
      </c>
      <c r="AH31">
        <f>SUMIFS(Tabla_Registro_de_movimientos_app.accdb[Importe_Gasto],Tabla_Registro_de_movimientos_app.accdb[Sucursal],Sucursal_Semanal!AH$5,Tabla_Registro_de_movimientos_app.accdb[Detalle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I31" s="194" t="e">
        <f t="shared" si="54"/>
        <v>#DIV/0!</v>
      </c>
      <c r="AJ31">
        <f>SUMIFS(Tabla_Registro_de_movimientos_app.accdb[Importe_Gasto],Tabla_Registro_de_movimientos_app.accdb[Sucursal],Sucursal_Semanal!AJ$5,Tabla_Registro_de_movimientos_app.accdb[Detalle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K31" s="194" t="e">
        <f t="shared" si="55"/>
        <v>#DIV/0!</v>
      </c>
      <c r="AM31" s="188">
        <f t="shared" si="56"/>
        <v>0</v>
      </c>
      <c r="AN31" s="189" t="e">
        <f t="shared" si="57"/>
        <v>#DIV/0!</v>
      </c>
    </row>
    <row r="32" spans="1:40" x14ac:dyDescent="0.25">
      <c r="A32" t="s">
        <v>121</v>
      </c>
      <c r="B32">
        <f>SUMIFS(Tabla_Registro_de_movimientos_app.accdb[Importe_Gasto],Tabla_Registro_de_movimientos_app.accdb[Sucursal],Sucursal_Semanal!$B$5,Tabla_Registro_de_movimientos_app.accdb[Detalle de movimiento],Sucursal_Semanal!A32,Tabla_Registro_de_movimientos_app.accdb[Fecha],"&gt;"&amp;Sucursal_Semanal!$B$4,Tabla_Registro_de_movimientos_app.accdb[Fecha],"&lt;="&amp;Sucursal_Semanal!$C$4)</f>
        <v>0</v>
      </c>
      <c r="C32" s="187" t="e">
        <f t="shared" si="39"/>
        <v>#DIV/0!</v>
      </c>
      <c r="D32">
        <f>SUMIFS(Tabla_Registro_de_movimientos_app.accdb[Importe_Gasto],Tabla_Registro_de_movimientos_app.accdb[Sucursal],Sucursal_Semanal!D$5,Tabla_Registro_de_movimientos_app.accdb[Detalle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E32" s="194" t="e">
        <f t="shared" si="40"/>
        <v>#DIV/0!</v>
      </c>
      <c r="F32">
        <f>SUMIFS(Tabla_Registro_de_movimientos_app.accdb[Importe_Gasto],Tabla_Registro_de_movimientos_app.accdb[Sucursal],Sucursal_Semanal!F$5,Tabla_Registro_de_movimientos_app.accdb[Detalle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G32" s="194" t="e">
        <f t="shared" si="41"/>
        <v>#DIV/0!</v>
      </c>
      <c r="H32">
        <f>SUMIFS(Tabla_Registro_de_movimientos_app.accdb[Importe_Gasto],Tabla_Registro_de_movimientos_app.accdb[Sucursal],Sucursal_Semanal!H$5,Tabla_Registro_de_movimientos_app.accdb[Detalle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I32" s="194" t="e">
        <f t="shared" si="41"/>
        <v>#DIV/0!</v>
      </c>
      <c r="J32">
        <f>SUMIFS(Tabla_Registro_de_movimientos_app.accdb[Importe_Gasto],Tabla_Registro_de_movimientos_app.accdb[Sucursal],Sucursal_Semanal!J$5,Tabla_Registro_de_movimientos_app.accdb[Detalle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K32" s="194" t="e">
        <f t="shared" si="42"/>
        <v>#DIV/0!</v>
      </c>
      <c r="L32">
        <f>SUMIFS(Tabla_Registro_de_movimientos_app.accdb[Importe_Gasto],Tabla_Registro_de_movimientos_app.accdb[Sucursal],Sucursal_Semanal!L$5,Tabla_Registro_de_movimientos_app.accdb[Detalle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M32" s="194" t="e">
        <f t="shared" si="43"/>
        <v>#DIV/0!</v>
      </c>
      <c r="N32">
        <f>SUMIFS(Tabla_Registro_de_movimientos_app.accdb[Importe_Gasto],Tabla_Registro_de_movimientos_app.accdb[Sucursal],Sucursal_Semanal!N$5,Tabla_Registro_de_movimientos_app.accdb[Detalle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O32" s="194" t="e">
        <f t="shared" si="44"/>
        <v>#DIV/0!</v>
      </c>
      <c r="P32">
        <f>SUMIFS(Tabla_Registro_de_movimientos_app.accdb[Importe_Gasto],Tabla_Registro_de_movimientos_app.accdb[Sucursal],Sucursal_Semanal!P$5,Tabla_Registro_de_movimientos_app.accdb[Detalle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Q32" s="194" t="e">
        <f t="shared" si="45"/>
        <v>#DIV/0!</v>
      </c>
      <c r="R32">
        <f>SUMIFS(Tabla_Registro_de_movimientos_app.accdb[Importe_Gasto],Tabla_Registro_de_movimientos_app.accdb[Sucursal],Sucursal_Semanal!R$5,Tabla_Registro_de_movimientos_app.accdb[Detalle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S32" s="194" t="e">
        <f t="shared" si="46"/>
        <v>#DIV/0!</v>
      </c>
      <c r="T32">
        <f>SUMIFS(Tabla_Registro_de_movimientos_app.accdb[Importe_Gasto],Tabla_Registro_de_movimientos_app.accdb[Sucursal],Sucursal_Semanal!T$5,Tabla_Registro_de_movimientos_app.accdb[Detalle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U32" s="194" t="e">
        <f t="shared" si="47"/>
        <v>#DIV/0!</v>
      </c>
      <c r="V32">
        <f>SUMIFS(Tabla_Registro_de_movimientos_app.accdb[Importe_Gasto],Tabla_Registro_de_movimientos_app.accdb[Sucursal],Sucursal_Semanal!V$5,Tabla_Registro_de_movimientos_app.accdb[Detalle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W32" s="194" t="e">
        <f t="shared" si="48"/>
        <v>#DIV/0!</v>
      </c>
      <c r="X32">
        <f>SUMIFS(Tabla_Registro_de_movimientos_app.accdb[Importe_Gasto],Tabla_Registro_de_movimientos_app.accdb[Sucursal],Sucursal_Semanal!X$5,Tabla_Registro_de_movimientos_app.accdb[Detalle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Y32" s="194" t="e">
        <f t="shared" si="49"/>
        <v>#DIV/0!</v>
      </c>
      <c r="Z32">
        <f>SUMIFS(Tabla_Registro_de_movimientos_app.accdb[Importe_Gasto],Tabla_Registro_de_movimientos_app.accdb[Sucursal],Sucursal_Semanal!Z$5,Tabla_Registro_de_movimientos_app.accdb[Detalle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A32" s="194" t="e">
        <f t="shared" si="50"/>
        <v>#DIV/0!</v>
      </c>
      <c r="AB32">
        <f>SUMIFS(Tabla_Registro_de_movimientos_app.accdb[Importe_Gasto],Tabla_Registro_de_movimientos_app.accdb[Sucursal],Sucursal_Semanal!AB$5,Tabla_Registro_de_movimientos_app.accdb[Detalle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C32" s="194" t="e">
        <f t="shared" si="51"/>
        <v>#DIV/0!</v>
      </c>
      <c r="AD32">
        <f>SUMIFS(Tabla_Registro_de_movimientos_app.accdb[Importe_Gasto],Tabla_Registro_de_movimientos_app.accdb[Sucursal],Sucursal_Semanal!AD$5,Tabla_Registro_de_movimientos_app.accdb[Detalle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E32" s="194" t="e">
        <f t="shared" si="52"/>
        <v>#DIV/0!</v>
      </c>
      <c r="AF32">
        <f>SUMIFS(Tabla_Registro_de_movimientos_app.accdb[Importe_Gasto],Tabla_Registro_de_movimientos_app.accdb[Sucursal],Sucursal_Semanal!AF$5,Tabla_Registro_de_movimientos_app.accdb[Detalle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G32" s="194" t="e">
        <f t="shared" si="53"/>
        <v>#DIV/0!</v>
      </c>
      <c r="AH32">
        <f>SUMIFS(Tabla_Registro_de_movimientos_app.accdb[Importe_Gasto],Tabla_Registro_de_movimientos_app.accdb[Sucursal],Sucursal_Semanal!AH$5,Tabla_Registro_de_movimientos_app.accdb[Detalle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I32" s="194" t="e">
        <f t="shared" si="54"/>
        <v>#DIV/0!</v>
      </c>
      <c r="AJ32">
        <f>SUMIFS(Tabla_Registro_de_movimientos_app.accdb[Importe_Gasto],Tabla_Registro_de_movimientos_app.accdb[Sucursal],Sucursal_Semanal!AJ$5,Tabla_Registro_de_movimientos_app.accdb[Detalle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K32" s="194" t="e">
        <f t="shared" si="55"/>
        <v>#DIV/0!</v>
      </c>
      <c r="AM32" s="188">
        <f t="shared" si="56"/>
        <v>0</v>
      </c>
      <c r="AN32" s="189" t="e">
        <f t="shared" si="57"/>
        <v>#DIV/0!</v>
      </c>
    </row>
    <row r="33" spans="1:40" ht="15.75" thickBot="1" x14ac:dyDescent="0.3">
      <c r="A33" s="8" t="s">
        <v>61</v>
      </c>
      <c r="B33" s="8">
        <f>SUM(B29:B32)</f>
        <v>0</v>
      </c>
      <c r="C33" s="8"/>
      <c r="D33" s="8">
        <f>SUM(D29:D32)</f>
        <v>0</v>
      </c>
      <c r="E33" s="8"/>
      <c r="F33" s="8">
        <f>SUM(F29:F32)</f>
        <v>0</v>
      </c>
      <c r="G33" s="8"/>
      <c r="H33" s="8">
        <f>SUM(H29:H32)</f>
        <v>0</v>
      </c>
      <c r="I33" s="8"/>
      <c r="J33" s="8">
        <f>SUM(J29:J32)</f>
        <v>0</v>
      </c>
      <c r="K33" s="8"/>
      <c r="L33" s="8">
        <f>SUM(L29:L32)</f>
        <v>0</v>
      </c>
      <c r="M33" s="8"/>
      <c r="N33" s="8">
        <f>SUM(N29:N32)</f>
        <v>0</v>
      </c>
      <c r="O33" s="8"/>
      <c r="P33" s="8">
        <f>SUM(P29:P32)</f>
        <v>0</v>
      </c>
      <c r="Q33" s="8"/>
      <c r="R33" s="8">
        <f>SUM(R29:R32)</f>
        <v>0</v>
      </c>
      <c r="S33" s="8"/>
      <c r="T33" s="8">
        <f>SUM(T29:T32)</f>
        <v>0</v>
      </c>
      <c r="U33" s="8"/>
      <c r="V33" s="8">
        <f>SUM(V29:V32)</f>
        <v>0</v>
      </c>
      <c r="W33" s="8"/>
      <c r="X33" s="8">
        <f>SUM(X29:X32)</f>
        <v>0</v>
      </c>
      <c r="Y33" s="8"/>
      <c r="Z33" s="8">
        <f>SUM(Z29:Z32)</f>
        <v>0</v>
      </c>
      <c r="AA33" s="8"/>
      <c r="AB33" s="8">
        <f>SUM(AB29:AB32)</f>
        <v>0</v>
      </c>
      <c r="AC33" s="8"/>
      <c r="AD33" s="8">
        <f>SUM(AD29:AD32)</f>
        <v>0</v>
      </c>
      <c r="AE33" s="8"/>
      <c r="AF33" s="8">
        <f>SUM(AF29:AF32)</f>
        <v>0</v>
      </c>
      <c r="AG33" s="8"/>
      <c r="AH33" s="8">
        <f>SUM(AH29:AH32)</f>
        <v>0</v>
      </c>
      <c r="AI33" s="8"/>
      <c r="AJ33" s="8">
        <f>SUM(AJ29:AJ32)</f>
        <v>0</v>
      </c>
      <c r="AK33" s="8"/>
      <c r="AL33" s="8"/>
      <c r="AM33" s="192">
        <f>SUM(AM29:AM32)</f>
        <v>0</v>
      </c>
      <c r="AN33" s="198" t="e">
        <f>AM33/AM13</f>
        <v>#DIV/0!</v>
      </c>
    </row>
    <row r="34" spans="1:40" ht="15.75" thickTop="1" x14ac:dyDescent="0.25"/>
    <row r="35" spans="1:40" x14ac:dyDescent="0.25">
      <c r="A35" s="7" t="s">
        <v>39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40" x14ac:dyDescent="0.25">
      <c r="A36" t="s">
        <v>30</v>
      </c>
      <c r="B36" s="214">
        <f>SUMIFS(Tabla_Registro_de_movimientos_app.accdb[Importe_Gasto],Tabla_Registro_de_movimientos_app.accdb[Sucursal],Sucursal_Semanal!$B$5,Tabla_Registro_de_movimientos_app.accdb[Detalle de movimiento],Sucursal_Semanal!A36,Tabla_Registro_de_movimientos_app.accdb[Fecha],"&gt;"&amp;Sucursal_Semanal!$B$4,Tabla_Registro_de_movimientos_app.accdb[Fecha],"&lt;="&amp;Sucursal_Semanal!$C$4)</f>
        <v>0</v>
      </c>
      <c r="C36" s="187" t="e">
        <f>B36/$B$53</f>
        <v>#DIV/0!</v>
      </c>
      <c r="D36">
        <f>SUMIFS(Tabla_Registro_de_movimientos_app.accdb[Importe_Gasto],Tabla_Registro_de_movimientos_app.accdb[Sucursal],Sucursal_Semanal!D$5,Tabla_Registro_de_movimientos_app.accdb[Detalle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E36" s="187" t="e">
        <f>D36/D$53</f>
        <v>#DIV/0!</v>
      </c>
      <c r="F36" s="214">
        <f>SUMIFS(Tabla_Registro_de_movimientos_app.accdb[Importe_Gasto],Tabla_Registro_de_movimientos_app.accdb[Sucursal],Sucursal_Semanal!F$5,Tabla_Registro_de_movimientos_app.accdb[Detalle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G36" s="187" t="e">
        <f>F36/F$53</f>
        <v>#DIV/0!</v>
      </c>
      <c r="H36">
        <f>SUMIFS(Tabla_Registro_de_movimientos_app.accdb[Importe_Gasto],Tabla_Registro_de_movimientos_app.accdb[Sucursal],Sucursal_Semanal!H$5,Tabla_Registro_de_movimientos_app.accdb[Detalle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I36" s="187" t="e">
        <f>H36/H$53</f>
        <v>#DIV/0!</v>
      </c>
      <c r="J36">
        <f>SUMIFS(Tabla_Registro_de_movimientos_app.accdb[Importe_Gasto],Tabla_Registro_de_movimientos_app.accdb[Sucursal],Sucursal_Semanal!J$5,Tabla_Registro_de_movimientos_app.accdb[Detalle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K36" s="187" t="e">
        <f>J36/J$53</f>
        <v>#DIV/0!</v>
      </c>
      <c r="L36" s="214">
        <f>SUMIFS(Tabla_Registro_de_movimientos_app.accdb[Importe_Gasto],Tabla_Registro_de_movimientos_app.accdb[Sucursal],Sucursal_Semanal!L$5,Tabla_Registro_de_movimientos_app.accdb[Detalle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M36" s="187" t="e">
        <f>L36/L$53</f>
        <v>#DIV/0!</v>
      </c>
      <c r="N36">
        <f>SUMIFS(Tabla_Registro_de_movimientos_app.accdb[Importe_Gasto],Tabla_Registro_de_movimientos_app.accdb[Sucursal],Sucursal_Semanal!N$5,Tabla_Registro_de_movimientos_app.accdb[Detalle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O36" s="187" t="e">
        <f>N36/N$53</f>
        <v>#DIV/0!</v>
      </c>
      <c r="P36">
        <f>SUMIFS(Tabla_Registro_de_movimientos_app.accdb[Importe_Gasto],Tabla_Registro_de_movimientos_app.accdb[Sucursal],Sucursal_Semanal!P$5,Tabla_Registro_de_movimientos_app.accdb[Detalle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Q36" s="187" t="e">
        <f>P36/P$53</f>
        <v>#DIV/0!</v>
      </c>
      <c r="R36" s="214">
        <f>SUMIFS(Tabla_Registro_de_movimientos_app.accdb[Importe_Gasto],Tabla_Registro_de_movimientos_app.accdb[Sucursal],Sucursal_Semanal!R$5,Tabla_Registro_de_movimientos_app.accdb[Detalle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S36" s="187" t="e">
        <f>R36/R$53</f>
        <v>#DIV/0!</v>
      </c>
      <c r="T36" s="214">
        <f>SUMIFS(Tabla_Registro_de_movimientos_app.accdb[Importe_Gasto],Tabla_Registro_de_movimientos_app.accdb[Sucursal],Sucursal_Semanal!T$5,Tabla_Registro_de_movimientos_app.accdb[Detalle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U36" s="187" t="e">
        <f>T36/T$53</f>
        <v>#DIV/0!</v>
      </c>
      <c r="V36">
        <f>SUMIFS(Tabla_Registro_de_movimientos_app.accdb[Importe_Gasto],Tabla_Registro_de_movimientos_app.accdb[Sucursal],Sucursal_Semanal!V$5,Tabla_Registro_de_movimientos_app.accdb[Detalle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W36" s="187" t="e">
        <f>V36/V$53</f>
        <v>#DIV/0!</v>
      </c>
      <c r="X36" s="214">
        <f>SUMIFS(Tabla_Registro_de_movimientos_app.accdb[Importe_Gasto],Tabla_Registro_de_movimientos_app.accdb[Sucursal],Sucursal_Semanal!X$5,Tabla_Registro_de_movimientos_app.accdb[Detalle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Y36" s="187" t="e">
        <f>X36/X$53</f>
        <v>#DIV/0!</v>
      </c>
      <c r="Z36" s="214">
        <f>SUMIFS(Tabla_Registro_de_movimientos_app.accdb[Importe_Gasto],Tabla_Registro_de_movimientos_app.accdb[Sucursal],Sucursal_Semanal!Z$5,Tabla_Registro_de_movimientos_app.accdb[Detalle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A36" s="187" t="e">
        <f>Z36/Z$53</f>
        <v>#DIV/0!</v>
      </c>
      <c r="AB36" s="214">
        <f>SUMIFS(Tabla_Registro_de_movimientos_app.accdb[Importe_Gasto],Tabla_Registro_de_movimientos_app.accdb[Sucursal],Sucursal_Semanal!AB$5,Tabla_Registro_de_movimientos_app.accdb[Detalle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C36" s="187" t="e">
        <f>AB36/AB$53</f>
        <v>#DIV/0!</v>
      </c>
      <c r="AD36" s="214">
        <f>SUMIFS(Tabla_Registro_de_movimientos_app.accdb[Importe_Gasto],Tabla_Registro_de_movimientos_app.accdb[Sucursal],Sucursal_Semanal!AD$5,Tabla_Registro_de_movimientos_app.accdb[Detalle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E36" s="187" t="e">
        <f>AD36/AD$53</f>
        <v>#DIV/0!</v>
      </c>
      <c r="AF36" s="214">
        <f>SUMIFS(Tabla_Registro_de_movimientos_app.accdb[Importe_Gasto],Tabla_Registro_de_movimientos_app.accdb[Sucursal],Sucursal_Semanal!AF$5,Tabla_Registro_de_movimientos_app.accdb[Detalle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G36" s="187" t="e">
        <f>AF36/AF$53</f>
        <v>#DIV/0!</v>
      </c>
      <c r="AH36" s="207">
        <f>SUMIFS(Tabla_Registro_de_movimientos_app.accdb[Importe_Gasto],Tabla_Registro_de_movimientos_app.accdb[Sucursal],Sucursal_Semanal!AH$5,Tabla_Registro_de_movimientos_app.accdb[Detalle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I36" s="200" t="e">
        <f>AH36/AH$53</f>
        <v>#DIV/0!</v>
      </c>
      <c r="AJ36" s="199">
        <f>SUMIFS(Tabla_Registro_de_movimientos_app.accdb[Importe_Gasto],Tabla_Registro_de_movimientos_app.accdb[Sucursal],Sucursal_Semanal!AJ$5,Tabla_Registro_de_movimientos_app.accdb[Detalle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K36" s="200" t="e">
        <f>AJ36/AJ$53</f>
        <v>#DIV/0!</v>
      </c>
      <c r="AM36" s="188">
        <f>SUM(B36,D36,F36,H36,J36,L36,N36,P36,R36,T36,V36,X36,Z36,AB36,AD36,AF36,AH36,AJ36)</f>
        <v>0</v>
      </c>
      <c r="AN36" s="189" t="e">
        <f>AM36/$AM$53</f>
        <v>#DIV/0!</v>
      </c>
    </row>
    <row r="37" spans="1:40" x14ac:dyDescent="0.25">
      <c r="A37" t="s">
        <v>129</v>
      </c>
      <c r="B37">
        <f>SUMIFS(Tabla_Registro_de_movimientos_app.accdb[Importe_Gasto],Tabla_Registro_de_movimientos_app.accdb[Sucursal],Sucursal_Semanal!$B$5,Tabla_Registro_de_movimientos_app.accdb[Detalle de movimiento],Sucursal_Semanal!A37,Tabla_Registro_de_movimientos_app.accdb[Fecha],"&gt;"&amp;Sucursal_Semanal!$B$4,Tabla_Registro_de_movimientos_app.accdb[Fecha],"&lt;="&amp;Sucursal_Semanal!$C$4)</f>
        <v>0</v>
      </c>
      <c r="C37" s="187" t="e">
        <f t="shared" ref="C37:C52" si="58">B37/$B$53</f>
        <v>#DIV/0!</v>
      </c>
      <c r="D37">
        <f>SUMIFS(Tabla_Registro_de_movimientos_app.accdb[Importe_Gasto],Tabla_Registro_de_movimientos_app.accdb[Sucursal],Sucursal_Semanal!D$5,Tabla_Registro_de_movimientos_app.accdb[Detalle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E37" s="187" t="e">
        <f t="shared" ref="E37:E52" si="59">D37/D$53</f>
        <v>#DIV/0!</v>
      </c>
      <c r="F37" s="115">
        <f>SUMIFS(Tabla_Registro_de_movimientos_app.accdb[Importe_Gasto],Tabla_Registro_de_movimientos_app.accdb[Sucursal],Sucursal_Semanal!F$5,Tabla_Registro_de_movimientos_app.accdb[Detalle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G37" s="187" t="e">
        <f t="shared" ref="G37:G52" si="60">F37/F$53</f>
        <v>#DIV/0!</v>
      </c>
      <c r="H37">
        <f>SUMIFS(Tabla_Registro_de_movimientos_app.accdb[Importe_Gasto],Tabla_Registro_de_movimientos_app.accdb[Sucursal],Sucursal_Semanal!H$5,Tabla_Registro_de_movimientos_app.accdb[Detalle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I37" s="187" t="e">
        <f t="shared" ref="I37:I52" si="61">H37/H$53</f>
        <v>#DIV/0!</v>
      </c>
      <c r="J37">
        <f>SUMIFS(Tabla_Registro_de_movimientos_app.accdb[Importe_Gasto],Tabla_Registro_de_movimientos_app.accdb[Sucursal],Sucursal_Semanal!J$5,Tabla_Registro_de_movimientos_app.accdb[Detalle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K37" s="187" t="e">
        <f t="shared" ref="K37:K52" si="62">J37/J$53</f>
        <v>#DIV/0!</v>
      </c>
      <c r="L37">
        <f>SUMIFS(Tabla_Registro_de_movimientos_app.accdb[Importe_Gasto],Tabla_Registro_de_movimientos_app.accdb[Sucursal],Sucursal_Semanal!L$5,Tabla_Registro_de_movimientos_app.accdb[Detalle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M37" s="187" t="e">
        <f t="shared" ref="M37:M52" si="63">L37/L$53</f>
        <v>#DIV/0!</v>
      </c>
      <c r="N37">
        <f>SUMIFS(Tabla_Registro_de_movimientos_app.accdb[Importe_Gasto],Tabla_Registro_de_movimientos_app.accdb[Sucursal],Sucursal_Semanal!N$5,Tabla_Registro_de_movimientos_app.accdb[Detalle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O37" s="187" t="e">
        <f t="shared" ref="O37:O52" si="64">N37/N$53</f>
        <v>#DIV/0!</v>
      </c>
      <c r="P37">
        <f>SUMIFS(Tabla_Registro_de_movimientos_app.accdb[Importe_Gasto],Tabla_Registro_de_movimientos_app.accdb[Sucursal],Sucursal_Semanal!P$5,Tabla_Registro_de_movimientos_app.accdb[Detalle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Q37" s="187" t="e">
        <f t="shared" ref="Q37:Q52" si="65">P37/P$53</f>
        <v>#DIV/0!</v>
      </c>
      <c r="R37" s="115">
        <f>SUMIFS(Tabla_Registro_de_movimientos_app.accdb[Importe_Gasto],Tabla_Registro_de_movimientos_app.accdb[Sucursal],Sucursal_Semanal!R$5,Tabla_Registro_de_movimientos_app.accdb[Detalle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S37" s="187" t="e">
        <f t="shared" ref="S37:S52" si="66">R37/R$53</f>
        <v>#DIV/0!</v>
      </c>
      <c r="T37" s="115">
        <f>SUMIFS(Tabla_Registro_de_movimientos_app.accdb[Importe_Gasto],Tabla_Registro_de_movimientos_app.accdb[Sucursal],Sucursal_Semanal!T$5,Tabla_Registro_de_movimientos_app.accdb[Detalle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U37" s="187" t="e">
        <f t="shared" ref="U37:U52" si="67">T37/T$53</f>
        <v>#DIV/0!</v>
      </c>
      <c r="V37">
        <f>SUMIFS(Tabla_Registro_de_movimientos_app.accdb[Importe_Gasto],Tabla_Registro_de_movimientos_app.accdb[Sucursal],Sucursal_Semanal!V$5,Tabla_Registro_de_movimientos_app.accdb[Detalle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W37" s="187" t="e">
        <f t="shared" ref="W37:W52" si="68">V37/V$53</f>
        <v>#DIV/0!</v>
      </c>
      <c r="X37" s="115">
        <f>SUMIFS(Tabla_Registro_de_movimientos_app.accdb[Importe_Gasto],Tabla_Registro_de_movimientos_app.accdb[Sucursal],Sucursal_Semanal!X$5,Tabla_Registro_de_movimientos_app.accdb[Detalle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Y37" s="187" t="e">
        <f t="shared" ref="Y37:Y52" si="69">X37/X$53</f>
        <v>#DIV/0!</v>
      </c>
      <c r="Z37" s="115">
        <f>SUMIFS(Tabla_Registro_de_movimientos_app.accdb[Importe_Gasto],Tabla_Registro_de_movimientos_app.accdb[Sucursal],Sucursal_Semanal!Z$5,Tabla_Registro_de_movimientos_app.accdb[Detalle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A37" s="187" t="e">
        <f t="shared" ref="AA37:AA52" si="70">Z37/Z$53</f>
        <v>#DIV/0!</v>
      </c>
      <c r="AB37" s="115">
        <f>SUMIFS(Tabla_Registro_de_movimientos_app.accdb[Importe_Gasto],Tabla_Registro_de_movimientos_app.accdb[Sucursal],Sucursal_Semanal!AB$5,Tabla_Registro_de_movimientos_app.accdb[Detalle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C37" s="187" t="e">
        <f t="shared" ref="AC37:AC52" si="71">AB37/AB$53</f>
        <v>#DIV/0!</v>
      </c>
      <c r="AD37" s="115">
        <f>SUMIFS(Tabla_Registro_de_movimientos_app.accdb[Importe_Gasto],Tabla_Registro_de_movimientos_app.accdb[Sucursal],Sucursal_Semanal!AD$5,Tabla_Registro_de_movimientos_app.accdb[Detalle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E37" s="187" t="e">
        <f t="shared" ref="AE37:AE52" si="72">AD37/AD$53</f>
        <v>#DIV/0!</v>
      </c>
      <c r="AF37" s="115">
        <f>SUMIFS(Tabla_Registro_de_movimientos_app.accdb[Importe_Gasto],Tabla_Registro_de_movimientos_app.accdb[Sucursal],Sucursal_Semanal!AF$5,Tabla_Registro_de_movimientos_app.accdb[Detalle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G37" s="187" t="e">
        <f t="shared" ref="AG37:AG52" si="73">AF37/AF$53</f>
        <v>#DIV/0!</v>
      </c>
      <c r="AH37" s="115">
        <f>SUMIFS(Tabla_Registro_de_movimientos_app.accdb[Importe_Gasto],Tabla_Registro_de_movimientos_app.accdb[Sucursal],Sucursal_Semanal!AH$5,Tabla_Registro_de_movimientos_app.accdb[Detalle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I37" s="187" t="e">
        <f t="shared" ref="AI37:AI52" si="74">AH37/AH$53</f>
        <v>#DIV/0!</v>
      </c>
      <c r="AJ37">
        <f>SUMIFS(Tabla_Registro_de_movimientos_app.accdb[Importe_Gasto],Tabla_Registro_de_movimientos_app.accdb[Sucursal],Sucursal_Semanal!AJ$5,Tabla_Registro_de_movimientos_app.accdb[Detalle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K37" s="187" t="e">
        <f t="shared" ref="AK37:AK52" si="75">AJ37/AJ$53</f>
        <v>#DIV/0!</v>
      </c>
      <c r="AM37" s="188">
        <f t="shared" ref="AM37:AM52" si="76">SUM(B37,D37,F37,H37,J37,L37,N37,P37,R37,T37,V37,X37,Z37,AB37,AD37,AF37,AH37,AJ37)</f>
        <v>0</v>
      </c>
      <c r="AN37" s="189" t="e">
        <f t="shared" ref="AN37:AN52" si="77">AM37/$AM$53</f>
        <v>#DIV/0!</v>
      </c>
    </row>
    <row r="38" spans="1:40" x14ac:dyDescent="0.25">
      <c r="A38" t="s">
        <v>40</v>
      </c>
      <c r="B38">
        <f>SUMIFS(Tabla_Registro_de_movimientos_app.accdb[Importe_Gasto],Tabla_Registro_de_movimientos_app.accdb[Sucursal],Sucursal_Semanal!$B$5,Tabla_Registro_de_movimientos_app.accdb[Detalle de movimiento],Sucursal_Semanal!A38,Tabla_Registro_de_movimientos_app.accdb[Fecha],"&gt;"&amp;Sucursal_Semanal!$B$4,Tabla_Registro_de_movimientos_app.accdb[Fecha],"&lt;="&amp;Sucursal_Semanal!$C$4)</f>
        <v>0</v>
      </c>
      <c r="C38" s="187" t="e">
        <f t="shared" si="58"/>
        <v>#DIV/0!</v>
      </c>
      <c r="D38">
        <f>SUMIFS(Tabla_Registro_de_movimientos_app.accdb[Importe_Gasto],Tabla_Registro_de_movimientos_app.accdb[Sucursal],Sucursal_Semanal!D$5,Tabla_Registro_de_movimientos_app.accdb[Detalle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E38" s="187" t="e">
        <f t="shared" si="59"/>
        <v>#DIV/0!</v>
      </c>
      <c r="F38" s="115">
        <f>SUMIFS(Tabla_Registro_de_movimientos_app.accdb[Importe_Gasto],Tabla_Registro_de_movimientos_app.accdb[Sucursal],Sucursal_Semanal!F$5,Tabla_Registro_de_movimientos_app.accdb[Detalle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G38" s="187" t="e">
        <f t="shared" si="60"/>
        <v>#DIV/0!</v>
      </c>
      <c r="H38">
        <f>SUMIFS(Tabla_Registro_de_movimientos_app.accdb[Importe_Gasto],Tabla_Registro_de_movimientos_app.accdb[Sucursal],Sucursal_Semanal!H$5,Tabla_Registro_de_movimientos_app.accdb[Detalle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I38" s="187" t="e">
        <f t="shared" si="61"/>
        <v>#DIV/0!</v>
      </c>
      <c r="J38">
        <f>SUMIFS(Tabla_Registro_de_movimientos_app.accdb[Importe_Gasto],Tabla_Registro_de_movimientos_app.accdb[Sucursal],Sucursal_Semanal!J$5,Tabla_Registro_de_movimientos_app.accdb[Detalle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K38" s="187" t="e">
        <f t="shared" si="62"/>
        <v>#DIV/0!</v>
      </c>
      <c r="L38">
        <f>SUMIFS(Tabla_Registro_de_movimientos_app.accdb[Importe_Gasto],Tabla_Registro_de_movimientos_app.accdb[Sucursal],Sucursal_Semanal!L$5,Tabla_Registro_de_movimientos_app.accdb[Detalle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M38" s="187" t="e">
        <f t="shared" si="63"/>
        <v>#DIV/0!</v>
      </c>
      <c r="N38">
        <f>SUMIFS(Tabla_Registro_de_movimientos_app.accdb[Importe_Gasto],Tabla_Registro_de_movimientos_app.accdb[Sucursal],Sucursal_Semanal!N$5,Tabla_Registro_de_movimientos_app.accdb[Detalle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O38" s="187" t="e">
        <f t="shared" si="64"/>
        <v>#DIV/0!</v>
      </c>
      <c r="P38">
        <f>SUMIFS(Tabla_Registro_de_movimientos_app.accdb[Importe_Gasto],Tabla_Registro_de_movimientos_app.accdb[Sucursal],Sucursal_Semanal!P$5,Tabla_Registro_de_movimientos_app.accdb[Detalle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Q38" s="187" t="e">
        <f t="shared" si="65"/>
        <v>#DIV/0!</v>
      </c>
      <c r="R38" s="115">
        <f>SUMIFS(Tabla_Registro_de_movimientos_app.accdb[Importe_Gasto],Tabla_Registro_de_movimientos_app.accdb[Sucursal],Sucursal_Semanal!R$5,Tabla_Registro_de_movimientos_app.accdb[Detalle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S38" s="187" t="e">
        <f t="shared" si="66"/>
        <v>#DIV/0!</v>
      </c>
      <c r="T38" s="115">
        <f>SUMIFS(Tabla_Registro_de_movimientos_app.accdb[Importe_Gasto],Tabla_Registro_de_movimientos_app.accdb[Sucursal],Sucursal_Semanal!T$5,Tabla_Registro_de_movimientos_app.accdb[Detalle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U38" s="187" t="e">
        <f t="shared" si="67"/>
        <v>#DIV/0!</v>
      </c>
      <c r="V38">
        <f>SUMIFS(Tabla_Registro_de_movimientos_app.accdb[Importe_Gasto],Tabla_Registro_de_movimientos_app.accdb[Sucursal],Sucursal_Semanal!V$5,Tabla_Registro_de_movimientos_app.accdb[Detalle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W38" s="187" t="e">
        <f t="shared" si="68"/>
        <v>#DIV/0!</v>
      </c>
      <c r="X38" s="115">
        <f>SUMIFS(Tabla_Registro_de_movimientos_app.accdb[Importe_Gasto],Tabla_Registro_de_movimientos_app.accdb[Sucursal],Sucursal_Semanal!X$5,Tabla_Registro_de_movimientos_app.accdb[Detalle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Y38" s="187" t="e">
        <f t="shared" si="69"/>
        <v>#DIV/0!</v>
      </c>
      <c r="Z38" s="115">
        <f>SUMIFS(Tabla_Registro_de_movimientos_app.accdb[Importe_Gasto],Tabla_Registro_de_movimientos_app.accdb[Sucursal],Sucursal_Semanal!Z$5,Tabla_Registro_de_movimientos_app.accdb[Detalle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A38" s="187" t="e">
        <f t="shared" si="70"/>
        <v>#DIV/0!</v>
      </c>
      <c r="AB38" s="115">
        <f>SUMIFS(Tabla_Registro_de_movimientos_app.accdb[Importe_Gasto],Tabla_Registro_de_movimientos_app.accdb[Sucursal],Sucursal_Semanal!AB$5,Tabla_Registro_de_movimientos_app.accdb[Detalle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C38" s="187" t="e">
        <f t="shared" si="71"/>
        <v>#DIV/0!</v>
      </c>
      <c r="AD38" s="115">
        <f>SUMIFS(Tabla_Registro_de_movimientos_app.accdb[Importe_Gasto],Tabla_Registro_de_movimientos_app.accdb[Sucursal],Sucursal_Semanal!AD$5,Tabla_Registro_de_movimientos_app.accdb[Detalle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E38" s="187" t="e">
        <f t="shared" si="72"/>
        <v>#DIV/0!</v>
      </c>
      <c r="AF38" s="115">
        <f>SUMIFS(Tabla_Registro_de_movimientos_app.accdb[Importe_Gasto],Tabla_Registro_de_movimientos_app.accdb[Sucursal],Sucursal_Semanal!AF$5,Tabla_Registro_de_movimientos_app.accdb[Detalle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G38" s="187" t="e">
        <f t="shared" si="73"/>
        <v>#DIV/0!</v>
      </c>
      <c r="AH38" s="115">
        <f>SUMIFS(Tabla_Registro_de_movimientos_app.accdb[Importe_Gasto],Tabla_Registro_de_movimientos_app.accdb[Sucursal],Sucursal_Semanal!AH$5,Tabla_Registro_de_movimientos_app.accdb[Detalle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I38" s="187" t="e">
        <f t="shared" si="74"/>
        <v>#DIV/0!</v>
      </c>
      <c r="AJ38">
        <f>SUMIFS(Tabla_Registro_de_movimientos_app.accdb[Importe_Gasto],Tabla_Registro_de_movimientos_app.accdb[Sucursal],Sucursal_Semanal!AJ$5,Tabla_Registro_de_movimientos_app.accdb[Detalle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K38" s="187" t="e">
        <f t="shared" si="75"/>
        <v>#DIV/0!</v>
      </c>
      <c r="AM38" s="188">
        <f t="shared" si="76"/>
        <v>0</v>
      </c>
      <c r="AN38" s="189" t="e">
        <f t="shared" si="77"/>
        <v>#DIV/0!</v>
      </c>
    </row>
    <row r="39" spans="1:40" x14ac:dyDescent="0.25">
      <c r="A39" t="s">
        <v>26</v>
      </c>
      <c r="B39" s="115">
        <f>SUMIFS(Tabla_Registro_de_movimientos_app.accdb[Importe_Gasto],Tabla_Registro_de_movimientos_app.accdb[Sucursal],Sucursal_Semanal!$B$5,Tabla_Registro_de_movimientos_app.accdb[Detalle de movimiento],Sucursal_Semanal!A39,Tabla_Registro_de_movimientos_app.accdb[Fecha],"&gt;"&amp;Sucursal_Semanal!$B$4,Tabla_Registro_de_movimientos_app.accdb[Fecha],"&lt;="&amp;Sucursal_Semanal!$C$4)</f>
        <v>0</v>
      </c>
      <c r="C39" s="187" t="e">
        <f t="shared" si="58"/>
        <v>#DIV/0!</v>
      </c>
      <c r="D39" s="115">
        <f>SUMIFS(Tabla_Registro_de_movimientos_app.accdb[Importe_Gasto],Tabla_Registro_de_movimientos_app.accdb[Sucursal],Sucursal_Semanal!D$5,Tabla_Registro_de_movimientos_app.accdb[Detalle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E39" s="187" t="e">
        <f t="shared" si="59"/>
        <v>#DIV/0!</v>
      </c>
      <c r="F39" s="115">
        <f>SUMIFS(Tabla_Registro_de_movimientos_app.accdb[Importe_Gasto],Tabla_Registro_de_movimientos_app.accdb[Sucursal],Sucursal_Semanal!F$5,Tabla_Registro_de_movimientos_app.accdb[Detalle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G39" s="187" t="e">
        <f t="shared" si="60"/>
        <v>#DIV/0!</v>
      </c>
      <c r="H39" s="115">
        <f>SUMIFS(Tabla_Registro_de_movimientos_app.accdb[Importe_Gasto],Tabla_Registro_de_movimientos_app.accdb[Sucursal],Sucursal_Semanal!H$5,Tabla_Registro_de_movimientos_app.accdb[Detalle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I39" s="187" t="e">
        <f t="shared" si="61"/>
        <v>#DIV/0!</v>
      </c>
      <c r="J39">
        <f>SUMIFS(Tabla_Registro_de_movimientos_app.accdb[Importe_Gasto],Tabla_Registro_de_movimientos_app.accdb[Sucursal],Sucursal_Semanal!J$5,Tabla_Registro_de_movimientos_app.accdb[Detalle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K39" s="187" t="e">
        <f t="shared" si="62"/>
        <v>#DIV/0!</v>
      </c>
      <c r="L39" s="115">
        <f>SUMIFS(Tabla_Registro_de_movimientos_app.accdb[Importe_Gasto],Tabla_Registro_de_movimientos_app.accdb[Sucursal],Sucursal_Semanal!L$5,Tabla_Registro_de_movimientos_app.accdb[Detalle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M39" s="187" t="e">
        <f t="shared" si="63"/>
        <v>#DIV/0!</v>
      </c>
      <c r="N39" s="115">
        <f>SUMIFS(Tabla_Registro_de_movimientos_app.accdb[Importe_Gasto],Tabla_Registro_de_movimientos_app.accdb[Sucursal],Sucursal_Semanal!N$5,Tabla_Registro_de_movimientos_app.accdb[Detalle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O39" s="187" t="e">
        <f t="shared" si="64"/>
        <v>#DIV/0!</v>
      </c>
      <c r="P39" s="115">
        <f>SUMIFS(Tabla_Registro_de_movimientos_app.accdb[Importe_Gasto],Tabla_Registro_de_movimientos_app.accdb[Sucursal],Sucursal_Semanal!P$5,Tabla_Registro_de_movimientos_app.accdb[Detalle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Q39" s="187" t="e">
        <f t="shared" si="65"/>
        <v>#DIV/0!</v>
      </c>
      <c r="R39" s="115">
        <f>SUMIFS(Tabla_Registro_de_movimientos_app.accdb[Importe_Gasto],Tabla_Registro_de_movimientos_app.accdb[Sucursal],Sucursal_Semanal!R$5,Tabla_Registro_de_movimientos_app.accdb[Detalle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S39" s="187" t="e">
        <f t="shared" si="66"/>
        <v>#DIV/0!</v>
      </c>
      <c r="T39" s="115">
        <f>SUMIFS(Tabla_Registro_de_movimientos_app.accdb[Importe_Gasto],Tabla_Registro_de_movimientos_app.accdb[Sucursal],Sucursal_Semanal!T$5,Tabla_Registro_de_movimientos_app.accdb[Detalle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U39" s="187" t="e">
        <f t="shared" si="67"/>
        <v>#DIV/0!</v>
      </c>
      <c r="V39">
        <f>SUMIFS(Tabla_Registro_de_movimientos_app.accdb[Importe_Gasto],Tabla_Registro_de_movimientos_app.accdb[Sucursal],Sucursal_Semanal!V$5,Tabla_Registro_de_movimientos_app.accdb[Detalle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W39" s="187" t="e">
        <f t="shared" si="68"/>
        <v>#DIV/0!</v>
      </c>
      <c r="X39" s="115">
        <f>SUMIFS(Tabla_Registro_de_movimientos_app.accdb[Importe_Gasto],Tabla_Registro_de_movimientos_app.accdb[Sucursal],Sucursal_Semanal!X$5,Tabla_Registro_de_movimientos_app.accdb[Detalle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Y39" s="187" t="e">
        <f t="shared" si="69"/>
        <v>#DIV/0!</v>
      </c>
      <c r="Z39" s="115">
        <f>SUMIFS(Tabla_Registro_de_movimientos_app.accdb[Importe_Gasto],Tabla_Registro_de_movimientos_app.accdb[Sucursal],Sucursal_Semanal!Z$5,Tabla_Registro_de_movimientos_app.accdb[Detalle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A39" s="187" t="e">
        <f t="shared" si="70"/>
        <v>#DIV/0!</v>
      </c>
      <c r="AB39" s="115">
        <f>SUMIFS(Tabla_Registro_de_movimientos_app.accdb[Importe_Gasto],Tabla_Registro_de_movimientos_app.accdb[Sucursal],Sucursal_Semanal!AB$5,Tabla_Registro_de_movimientos_app.accdb[Detalle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C39" s="187" t="e">
        <f t="shared" si="71"/>
        <v>#DIV/0!</v>
      </c>
      <c r="AD39" s="115">
        <f>SUMIFS(Tabla_Registro_de_movimientos_app.accdb[Importe_Gasto],Tabla_Registro_de_movimientos_app.accdb[Sucursal],Sucursal_Semanal!AD$5,Tabla_Registro_de_movimientos_app.accdb[Detalle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E39" s="187" t="e">
        <f t="shared" si="72"/>
        <v>#DIV/0!</v>
      </c>
      <c r="AF39" s="115">
        <f>SUMIFS(Tabla_Registro_de_movimientos_app.accdb[Importe_Gasto],Tabla_Registro_de_movimientos_app.accdb[Sucursal],Sucursal_Semanal!AF$5,Tabla_Registro_de_movimientos_app.accdb[Detalle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G39" s="187" t="e">
        <f t="shared" si="73"/>
        <v>#DIV/0!</v>
      </c>
      <c r="AH39" s="115">
        <f>SUMIFS(Tabla_Registro_de_movimientos_app.accdb[Importe_Gasto],Tabla_Registro_de_movimientos_app.accdb[Sucursal],Sucursal_Semanal!AH$5,Tabla_Registro_de_movimientos_app.accdb[Detalle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I39" s="187" t="e">
        <f t="shared" si="74"/>
        <v>#DIV/0!</v>
      </c>
      <c r="AJ39">
        <f>SUMIFS(Tabla_Registro_de_movimientos_app.accdb[Importe_Gasto],Tabla_Registro_de_movimientos_app.accdb[Sucursal],Sucursal_Semanal!AJ$5,Tabla_Registro_de_movimientos_app.accdb[Detalle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K39" s="187" t="e">
        <f t="shared" si="75"/>
        <v>#DIV/0!</v>
      </c>
      <c r="AM39" s="188">
        <f t="shared" si="76"/>
        <v>0</v>
      </c>
      <c r="AN39" s="189" t="e">
        <f t="shared" si="77"/>
        <v>#DIV/0!</v>
      </c>
    </row>
    <row r="40" spans="1:40" x14ac:dyDescent="0.25">
      <c r="A40" t="s">
        <v>41</v>
      </c>
      <c r="B40" s="115">
        <f>SUMIFS(Tabla_Registro_de_movimientos_app.accdb[Importe_Gasto],Tabla_Registro_de_movimientos_app.accdb[Sucursal],Sucursal_Semanal!$B$5,Tabla_Registro_de_movimientos_app.accdb[Detalle de movimiento],Sucursal_Semanal!A40,Tabla_Registro_de_movimientos_app.accdb[Fecha],"&gt;"&amp;Sucursal_Semanal!$B$4,Tabla_Registro_de_movimientos_app.accdb[Fecha],"&lt;="&amp;Sucursal_Semanal!$C$4)</f>
        <v>0</v>
      </c>
      <c r="C40" s="187" t="e">
        <f t="shared" si="58"/>
        <v>#DIV/0!</v>
      </c>
      <c r="D40" s="115">
        <f>SUMIFS(Tabla_Registro_de_movimientos_app.accdb[Importe_Gasto],Tabla_Registro_de_movimientos_app.accdb[Sucursal],Sucursal_Semanal!D$5,Tabla_Registro_de_movimientos_app.accdb[Detalle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E40" s="187" t="e">
        <f t="shared" si="59"/>
        <v>#DIV/0!</v>
      </c>
      <c r="F40" s="115">
        <f>SUMIFS(Tabla_Registro_de_movimientos_app.accdb[Importe_Gasto],Tabla_Registro_de_movimientos_app.accdb[Sucursal],Sucursal_Semanal!F$5,Tabla_Registro_de_movimientos_app.accdb[Detalle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G40" s="187" t="e">
        <f t="shared" si="60"/>
        <v>#DIV/0!</v>
      </c>
      <c r="H40" s="115">
        <f>SUMIFS(Tabla_Registro_de_movimientos_app.accdb[Importe_Gasto],Tabla_Registro_de_movimientos_app.accdb[Sucursal],Sucursal_Semanal!H$5,Tabla_Registro_de_movimientos_app.accdb[Detalle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I40" s="187" t="e">
        <f t="shared" si="61"/>
        <v>#DIV/0!</v>
      </c>
      <c r="J40">
        <f>SUMIFS(Tabla_Registro_de_movimientos_app.accdb[Importe_Gasto],Tabla_Registro_de_movimientos_app.accdb[Sucursal],Sucursal_Semanal!J$5,Tabla_Registro_de_movimientos_app.accdb[Detalle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K40" s="187" t="e">
        <f t="shared" si="62"/>
        <v>#DIV/0!</v>
      </c>
      <c r="L40" s="115">
        <f>SUMIFS(Tabla_Registro_de_movimientos_app.accdb[Importe_Gasto],Tabla_Registro_de_movimientos_app.accdb[Sucursal],Sucursal_Semanal!L$5,Tabla_Registro_de_movimientos_app.accdb[Detalle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M40" s="187" t="e">
        <f t="shared" si="63"/>
        <v>#DIV/0!</v>
      </c>
      <c r="N40" s="115">
        <f>SUMIFS(Tabla_Registro_de_movimientos_app.accdb[Importe_Gasto],Tabla_Registro_de_movimientos_app.accdb[Sucursal],Sucursal_Semanal!N$5,Tabla_Registro_de_movimientos_app.accdb[Detalle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O40" s="187" t="e">
        <f t="shared" si="64"/>
        <v>#DIV/0!</v>
      </c>
      <c r="P40" s="115">
        <f>SUMIFS(Tabla_Registro_de_movimientos_app.accdb[Importe_Gasto],Tabla_Registro_de_movimientos_app.accdb[Sucursal],Sucursal_Semanal!P$5,Tabla_Registro_de_movimientos_app.accdb[Detalle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Q40" s="187" t="e">
        <f t="shared" si="65"/>
        <v>#DIV/0!</v>
      </c>
      <c r="R40" s="115">
        <f>SUMIFS(Tabla_Registro_de_movimientos_app.accdb[Importe_Gasto],Tabla_Registro_de_movimientos_app.accdb[Sucursal],Sucursal_Semanal!R$5,Tabla_Registro_de_movimientos_app.accdb[Detalle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S40" s="187" t="e">
        <f t="shared" si="66"/>
        <v>#DIV/0!</v>
      </c>
      <c r="T40" s="115">
        <f>SUMIFS(Tabla_Registro_de_movimientos_app.accdb[Importe_Gasto],Tabla_Registro_de_movimientos_app.accdb[Sucursal],Sucursal_Semanal!T$5,Tabla_Registro_de_movimientos_app.accdb[Detalle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U40" s="187" t="e">
        <f t="shared" si="67"/>
        <v>#DIV/0!</v>
      </c>
      <c r="V40">
        <f>SUMIFS(Tabla_Registro_de_movimientos_app.accdb[Importe_Gasto],Tabla_Registro_de_movimientos_app.accdb[Sucursal],Sucursal_Semanal!V$5,Tabla_Registro_de_movimientos_app.accdb[Detalle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W40" s="187" t="e">
        <f t="shared" si="68"/>
        <v>#DIV/0!</v>
      </c>
      <c r="X40" s="115">
        <f>SUMIFS(Tabla_Registro_de_movimientos_app.accdb[Importe_Gasto],Tabla_Registro_de_movimientos_app.accdb[Sucursal],Sucursal_Semanal!X$5,Tabla_Registro_de_movimientos_app.accdb[Detalle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Y40" s="187" t="e">
        <f t="shared" si="69"/>
        <v>#DIV/0!</v>
      </c>
      <c r="Z40" s="115">
        <f>SUMIFS(Tabla_Registro_de_movimientos_app.accdb[Importe_Gasto],Tabla_Registro_de_movimientos_app.accdb[Sucursal],Sucursal_Semanal!Z$5,Tabla_Registro_de_movimientos_app.accdb[Detalle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A40" s="187" t="e">
        <f t="shared" si="70"/>
        <v>#DIV/0!</v>
      </c>
      <c r="AB40" s="115">
        <f>SUMIFS(Tabla_Registro_de_movimientos_app.accdb[Importe_Gasto],Tabla_Registro_de_movimientos_app.accdb[Sucursal],Sucursal_Semanal!AB$5,Tabla_Registro_de_movimientos_app.accdb[Detalle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C40" s="187" t="e">
        <f t="shared" si="71"/>
        <v>#DIV/0!</v>
      </c>
      <c r="AD40" s="115">
        <f>SUMIFS(Tabla_Registro_de_movimientos_app.accdb[Importe_Gasto],Tabla_Registro_de_movimientos_app.accdb[Sucursal],Sucursal_Semanal!AD$5,Tabla_Registro_de_movimientos_app.accdb[Detalle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E40" s="187" t="e">
        <f t="shared" si="72"/>
        <v>#DIV/0!</v>
      </c>
      <c r="AF40" s="115">
        <f>SUMIFS(Tabla_Registro_de_movimientos_app.accdb[Importe_Gasto],Tabla_Registro_de_movimientos_app.accdb[Sucursal],Sucursal_Semanal!AF$5,Tabla_Registro_de_movimientos_app.accdb[Detalle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G40" s="187" t="e">
        <f t="shared" si="73"/>
        <v>#DIV/0!</v>
      </c>
      <c r="AH40" s="115">
        <f>SUMIFS(Tabla_Registro_de_movimientos_app.accdb[Importe_Gasto],Tabla_Registro_de_movimientos_app.accdb[Sucursal],Sucursal_Semanal!AH$5,Tabla_Registro_de_movimientos_app.accdb[Detalle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I40" s="187" t="e">
        <f t="shared" si="74"/>
        <v>#DIV/0!</v>
      </c>
      <c r="AJ40">
        <f>SUMIFS(Tabla_Registro_de_movimientos_app.accdb[Importe_Gasto],Tabla_Registro_de_movimientos_app.accdb[Sucursal],Sucursal_Semanal!AJ$5,Tabla_Registro_de_movimientos_app.accdb[Detalle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K40" s="187" t="e">
        <f t="shared" si="75"/>
        <v>#DIV/0!</v>
      </c>
      <c r="AM40" s="188">
        <f t="shared" si="76"/>
        <v>0</v>
      </c>
      <c r="AN40" s="189" t="e">
        <f t="shared" si="77"/>
        <v>#DIV/0!</v>
      </c>
    </row>
    <row r="41" spans="1:40" x14ac:dyDescent="0.25">
      <c r="A41" t="s">
        <v>42</v>
      </c>
      <c r="B41" s="115">
        <f>SUMIFS(Tabla_Registro_de_movimientos_app.accdb[Importe_Gasto],Tabla_Registro_de_movimientos_app.accdb[Sucursal],Sucursal_Semanal!$B$5,Tabla_Registro_de_movimientos_app.accdb[Detalle de movimiento],Sucursal_Semanal!A41,Tabla_Registro_de_movimientos_app.accdb[Fecha],"&gt;"&amp;Sucursal_Semanal!$B$4,Tabla_Registro_de_movimientos_app.accdb[Fecha],"&lt;="&amp;Sucursal_Semanal!$C$4)</f>
        <v>0</v>
      </c>
      <c r="C41" s="187" t="e">
        <f t="shared" si="58"/>
        <v>#DIV/0!</v>
      </c>
      <c r="D41" s="115">
        <f>SUMIFS(Tabla_Registro_de_movimientos_app.accdb[Importe_Gasto],Tabla_Registro_de_movimientos_app.accdb[Sucursal],Sucursal_Semanal!D$5,Tabla_Registro_de_movimientos_app.accdb[Detalle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E41" s="187" t="e">
        <f t="shared" si="59"/>
        <v>#DIV/0!</v>
      </c>
      <c r="F41" s="115">
        <f>SUMIFS(Tabla_Registro_de_movimientos_app.accdb[Importe_Gasto],Tabla_Registro_de_movimientos_app.accdb[Sucursal],Sucursal_Semanal!F$5,Tabla_Registro_de_movimientos_app.accdb[Detalle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G41" s="187" t="e">
        <f t="shared" si="60"/>
        <v>#DIV/0!</v>
      </c>
      <c r="H41" s="115">
        <f>SUMIFS(Tabla_Registro_de_movimientos_app.accdb[Importe_Gasto],Tabla_Registro_de_movimientos_app.accdb[Sucursal],Sucursal_Semanal!H$5,Tabla_Registro_de_movimientos_app.accdb[Detalle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I41" s="187" t="e">
        <f t="shared" si="61"/>
        <v>#DIV/0!</v>
      </c>
      <c r="J41">
        <f>SUMIFS(Tabla_Registro_de_movimientos_app.accdb[Importe_Gasto],Tabla_Registro_de_movimientos_app.accdb[Sucursal],Sucursal_Semanal!J$5,Tabla_Registro_de_movimientos_app.accdb[Detalle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K41" s="187" t="e">
        <f t="shared" si="62"/>
        <v>#DIV/0!</v>
      </c>
      <c r="L41" s="115">
        <f>SUMIFS(Tabla_Registro_de_movimientos_app.accdb[Importe_Gasto],Tabla_Registro_de_movimientos_app.accdb[Sucursal],Sucursal_Semanal!L$5,Tabla_Registro_de_movimientos_app.accdb[Detalle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M41" s="187" t="e">
        <f t="shared" si="63"/>
        <v>#DIV/0!</v>
      </c>
      <c r="N41" s="115">
        <f>SUMIFS(Tabla_Registro_de_movimientos_app.accdb[Importe_Gasto],Tabla_Registro_de_movimientos_app.accdb[Sucursal],Sucursal_Semanal!N$5,Tabla_Registro_de_movimientos_app.accdb[Detalle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O41" s="187" t="e">
        <f t="shared" si="64"/>
        <v>#DIV/0!</v>
      </c>
      <c r="P41" s="115">
        <f>SUMIFS(Tabla_Registro_de_movimientos_app.accdb[Importe_Gasto],Tabla_Registro_de_movimientos_app.accdb[Sucursal],Sucursal_Semanal!P$5,Tabla_Registro_de_movimientos_app.accdb[Detalle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Q41" s="187" t="e">
        <f t="shared" si="65"/>
        <v>#DIV/0!</v>
      </c>
      <c r="R41" s="115">
        <f>SUMIFS(Tabla_Registro_de_movimientos_app.accdb[Importe_Gasto],Tabla_Registro_de_movimientos_app.accdb[Sucursal],Sucursal_Semanal!R$5,Tabla_Registro_de_movimientos_app.accdb[Detalle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S41" s="187" t="e">
        <f t="shared" si="66"/>
        <v>#DIV/0!</v>
      </c>
      <c r="T41" s="115">
        <f>SUMIFS(Tabla_Registro_de_movimientos_app.accdb[Importe_Gasto],Tabla_Registro_de_movimientos_app.accdb[Sucursal],Sucursal_Semanal!T$5,Tabla_Registro_de_movimientos_app.accdb[Detalle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U41" s="187" t="e">
        <f t="shared" si="67"/>
        <v>#DIV/0!</v>
      </c>
      <c r="V41">
        <f>SUMIFS(Tabla_Registro_de_movimientos_app.accdb[Importe_Gasto],Tabla_Registro_de_movimientos_app.accdb[Sucursal],Sucursal_Semanal!V$5,Tabla_Registro_de_movimientos_app.accdb[Detalle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W41" s="187" t="e">
        <f t="shared" si="68"/>
        <v>#DIV/0!</v>
      </c>
      <c r="X41" s="115">
        <f>SUMIFS(Tabla_Registro_de_movimientos_app.accdb[Importe_Gasto],Tabla_Registro_de_movimientos_app.accdb[Sucursal],Sucursal_Semanal!X$5,Tabla_Registro_de_movimientos_app.accdb[Detalle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Y41" s="187" t="e">
        <f t="shared" si="69"/>
        <v>#DIV/0!</v>
      </c>
      <c r="Z41" s="115">
        <f>SUMIFS(Tabla_Registro_de_movimientos_app.accdb[Importe_Gasto],Tabla_Registro_de_movimientos_app.accdb[Sucursal],Sucursal_Semanal!Z$5,Tabla_Registro_de_movimientos_app.accdb[Detalle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A41" s="187" t="e">
        <f t="shared" si="70"/>
        <v>#DIV/0!</v>
      </c>
      <c r="AB41" s="115">
        <f>SUMIFS(Tabla_Registro_de_movimientos_app.accdb[Importe_Gasto],Tabla_Registro_de_movimientos_app.accdb[Sucursal],Sucursal_Semanal!AB$5,Tabla_Registro_de_movimientos_app.accdb[Detalle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C41" s="187" t="e">
        <f t="shared" si="71"/>
        <v>#DIV/0!</v>
      </c>
      <c r="AD41" s="115">
        <f>SUMIFS(Tabla_Registro_de_movimientos_app.accdb[Importe_Gasto],Tabla_Registro_de_movimientos_app.accdb[Sucursal],Sucursal_Semanal!AD$5,Tabla_Registro_de_movimientos_app.accdb[Detalle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E41" s="187" t="e">
        <f t="shared" si="72"/>
        <v>#DIV/0!</v>
      </c>
      <c r="AF41" s="115">
        <f>SUMIFS(Tabla_Registro_de_movimientos_app.accdb[Importe_Gasto],Tabla_Registro_de_movimientos_app.accdb[Sucursal],Sucursal_Semanal!AF$5,Tabla_Registro_de_movimientos_app.accdb[Detalle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G41" s="187" t="e">
        <f t="shared" si="73"/>
        <v>#DIV/0!</v>
      </c>
      <c r="AH41" s="115">
        <f>SUMIFS(Tabla_Registro_de_movimientos_app.accdb[Importe_Gasto],Tabla_Registro_de_movimientos_app.accdb[Sucursal],Sucursal_Semanal!AH$5,Tabla_Registro_de_movimientos_app.accdb[Detalle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I41" s="187" t="e">
        <f t="shared" si="74"/>
        <v>#DIV/0!</v>
      </c>
      <c r="AJ41">
        <f>SUMIFS(Tabla_Registro_de_movimientos_app.accdb[Importe_Gasto],Tabla_Registro_de_movimientos_app.accdb[Sucursal],Sucursal_Semanal!AJ$5,Tabla_Registro_de_movimientos_app.accdb[Detalle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K41" s="187" t="e">
        <f t="shared" si="75"/>
        <v>#DIV/0!</v>
      </c>
      <c r="AM41" s="188">
        <f t="shared" si="76"/>
        <v>0</v>
      </c>
      <c r="AN41" s="189" t="e">
        <f t="shared" si="77"/>
        <v>#DIV/0!</v>
      </c>
    </row>
    <row r="42" spans="1:40" x14ac:dyDescent="0.25">
      <c r="A42" t="s">
        <v>28</v>
      </c>
      <c r="B42" s="115">
        <f>SUMIFS(Tabla_Registro_de_movimientos_app.accdb[Importe_Gasto],Tabla_Registro_de_movimientos_app.accdb[Sucursal],Sucursal_Semanal!$B$5,Tabla_Registro_de_movimientos_app.accdb[Detalle de movimiento],Sucursal_Semanal!A42,Tabla_Registro_de_movimientos_app.accdb[Fecha],"&gt;"&amp;Sucursal_Semanal!$B$4,Tabla_Registro_de_movimientos_app.accdb[Fecha],"&lt;="&amp;Sucursal_Semanal!$C$4)</f>
        <v>0</v>
      </c>
      <c r="C42" s="187" t="e">
        <f t="shared" si="58"/>
        <v>#DIV/0!</v>
      </c>
      <c r="D42" s="115">
        <f>SUMIFS(Tabla_Registro_de_movimientos_app.accdb[Importe_Gasto],Tabla_Registro_de_movimientos_app.accdb[Sucursal],Sucursal_Semanal!D$5,Tabla_Registro_de_movimientos_app.accdb[Detalle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E42" s="187" t="e">
        <f t="shared" si="59"/>
        <v>#DIV/0!</v>
      </c>
      <c r="F42" s="115">
        <f>SUMIFS(Tabla_Registro_de_movimientos_app.accdb[Importe_Gasto],Tabla_Registro_de_movimientos_app.accdb[Sucursal],Sucursal_Semanal!F$5,Tabla_Registro_de_movimientos_app.accdb[Detalle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G42" s="187" t="e">
        <f t="shared" si="60"/>
        <v>#DIV/0!</v>
      </c>
      <c r="H42" s="115">
        <f>SUMIFS(Tabla_Registro_de_movimientos_app.accdb[Importe_Gasto],Tabla_Registro_de_movimientos_app.accdb[Sucursal],Sucursal_Semanal!H$5,Tabla_Registro_de_movimientos_app.accdb[Detalle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I42" s="187" t="e">
        <f t="shared" si="61"/>
        <v>#DIV/0!</v>
      </c>
      <c r="J42">
        <f>SUMIFS(Tabla_Registro_de_movimientos_app.accdb[Importe_Gasto],Tabla_Registro_de_movimientos_app.accdb[Sucursal],Sucursal_Semanal!J$5,Tabla_Registro_de_movimientos_app.accdb[Detalle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K42" s="187" t="e">
        <f t="shared" si="62"/>
        <v>#DIV/0!</v>
      </c>
      <c r="L42" s="115">
        <f>SUMIFS(Tabla_Registro_de_movimientos_app.accdb[Importe_Gasto],Tabla_Registro_de_movimientos_app.accdb[Sucursal],Sucursal_Semanal!L$5,Tabla_Registro_de_movimientos_app.accdb[Detalle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M42" s="187" t="e">
        <f t="shared" si="63"/>
        <v>#DIV/0!</v>
      </c>
      <c r="N42" s="115">
        <f>SUMIFS(Tabla_Registro_de_movimientos_app.accdb[Importe_Gasto],Tabla_Registro_de_movimientos_app.accdb[Sucursal],Sucursal_Semanal!N$5,Tabla_Registro_de_movimientos_app.accdb[Detalle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O42" s="187" t="e">
        <f t="shared" si="64"/>
        <v>#DIV/0!</v>
      </c>
      <c r="P42" s="115">
        <f>SUMIFS(Tabla_Registro_de_movimientos_app.accdb[Importe_Gasto],Tabla_Registro_de_movimientos_app.accdb[Sucursal],Sucursal_Semanal!P$5,Tabla_Registro_de_movimientos_app.accdb[Detalle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Q42" s="187" t="e">
        <f t="shared" si="65"/>
        <v>#DIV/0!</v>
      </c>
      <c r="R42" s="115">
        <f>SUMIFS(Tabla_Registro_de_movimientos_app.accdb[Importe_Gasto],Tabla_Registro_de_movimientos_app.accdb[Sucursal],Sucursal_Semanal!R$5,Tabla_Registro_de_movimientos_app.accdb[Detalle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S42" s="187" t="e">
        <f t="shared" si="66"/>
        <v>#DIV/0!</v>
      </c>
      <c r="T42" s="115">
        <f>SUMIFS(Tabla_Registro_de_movimientos_app.accdb[Importe_Gasto],Tabla_Registro_de_movimientos_app.accdb[Sucursal],Sucursal_Semanal!T$5,Tabla_Registro_de_movimientos_app.accdb[Detalle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U42" s="187" t="e">
        <f t="shared" si="67"/>
        <v>#DIV/0!</v>
      </c>
      <c r="V42">
        <f>SUMIFS(Tabla_Registro_de_movimientos_app.accdb[Importe_Gasto],Tabla_Registro_de_movimientos_app.accdb[Sucursal],Sucursal_Semanal!V$5,Tabla_Registro_de_movimientos_app.accdb[Detalle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W42" s="187" t="e">
        <f t="shared" si="68"/>
        <v>#DIV/0!</v>
      </c>
      <c r="X42" s="115">
        <f>SUMIFS(Tabla_Registro_de_movimientos_app.accdb[Importe_Gasto],Tabla_Registro_de_movimientos_app.accdb[Sucursal],Sucursal_Semanal!X$5,Tabla_Registro_de_movimientos_app.accdb[Detalle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Y42" s="187" t="e">
        <f t="shared" si="69"/>
        <v>#DIV/0!</v>
      </c>
      <c r="Z42" s="115">
        <f>SUMIFS(Tabla_Registro_de_movimientos_app.accdb[Importe_Gasto],Tabla_Registro_de_movimientos_app.accdb[Sucursal],Sucursal_Semanal!Z$5,Tabla_Registro_de_movimientos_app.accdb[Detalle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A42" s="187" t="e">
        <f t="shared" si="70"/>
        <v>#DIV/0!</v>
      </c>
      <c r="AB42" s="115">
        <f>SUMIFS(Tabla_Registro_de_movimientos_app.accdb[Importe_Gasto],Tabla_Registro_de_movimientos_app.accdb[Sucursal],Sucursal_Semanal!AB$5,Tabla_Registro_de_movimientos_app.accdb[Detalle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C42" s="187" t="e">
        <f t="shared" si="71"/>
        <v>#DIV/0!</v>
      </c>
      <c r="AD42" s="115">
        <f>SUMIFS(Tabla_Registro_de_movimientos_app.accdb[Importe_Gasto],Tabla_Registro_de_movimientos_app.accdb[Sucursal],Sucursal_Semanal!AD$5,Tabla_Registro_de_movimientos_app.accdb[Detalle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E42" s="187" t="e">
        <f t="shared" si="72"/>
        <v>#DIV/0!</v>
      </c>
      <c r="AF42" s="115">
        <f>SUMIFS(Tabla_Registro_de_movimientos_app.accdb[Importe_Gasto],Tabla_Registro_de_movimientos_app.accdb[Sucursal],Sucursal_Semanal!AF$5,Tabla_Registro_de_movimientos_app.accdb[Detalle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G42" s="187" t="e">
        <f t="shared" si="73"/>
        <v>#DIV/0!</v>
      </c>
      <c r="AH42" s="115">
        <f>SUMIFS(Tabla_Registro_de_movimientos_app.accdb[Importe_Gasto],Tabla_Registro_de_movimientos_app.accdb[Sucursal],Sucursal_Semanal!AH$5,Tabla_Registro_de_movimientos_app.accdb[Detalle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I42" s="187" t="e">
        <f t="shared" si="74"/>
        <v>#DIV/0!</v>
      </c>
      <c r="AJ42">
        <f>SUMIFS(Tabla_Registro_de_movimientos_app.accdb[Importe_Gasto],Tabla_Registro_de_movimientos_app.accdb[Sucursal],Sucursal_Semanal!AJ$5,Tabla_Registro_de_movimientos_app.accdb[Detalle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K42" s="187" t="e">
        <f t="shared" si="75"/>
        <v>#DIV/0!</v>
      </c>
      <c r="AM42" s="188">
        <f t="shared" si="76"/>
        <v>0</v>
      </c>
      <c r="AN42" s="189" t="e">
        <f t="shared" si="77"/>
        <v>#DIV/0!</v>
      </c>
    </row>
    <row r="43" spans="1:40" x14ac:dyDescent="0.25">
      <c r="A43" t="s">
        <v>12</v>
      </c>
      <c r="B43" s="115">
        <f>SUMIFS(Tabla_Registro_de_movimientos_app.accdb[Importe_Gasto],Tabla_Registro_de_movimientos_app.accdb[Sucursal],Sucursal_Semanal!$B$5,Tabla_Registro_de_movimientos_app.accdb[Detalle de movimiento],Sucursal_Semanal!A43,Tabla_Registro_de_movimientos_app.accdb[Fecha],"&gt;"&amp;Sucursal_Semanal!$B$4,Tabla_Registro_de_movimientos_app.accdb[Fecha],"&lt;="&amp;Sucursal_Semanal!$C$4)</f>
        <v>0</v>
      </c>
      <c r="C43" s="187" t="e">
        <f t="shared" si="58"/>
        <v>#DIV/0!</v>
      </c>
      <c r="D43" s="115">
        <f>SUMIFS(Tabla_Registro_de_movimientos_app.accdb[Importe_Gasto],Tabla_Registro_de_movimientos_app.accdb[Sucursal],Sucursal_Semanal!D$5,Tabla_Registro_de_movimientos_app.accdb[Detalle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E43" s="187" t="e">
        <f t="shared" si="59"/>
        <v>#DIV/0!</v>
      </c>
      <c r="F43" s="115">
        <f>SUMIFS(Tabla_Registro_de_movimientos_app.accdb[Importe_Gasto],Tabla_Registro_de_movimientos_app.accdb[Sucursal],Sucursal_Semanal!F$5,Tabla_Registro_de_movimientos_app.accdb[Detalle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G43" s="187" t="e">
        <f t="shared" si="60"/>
        <v>#DIV/0!</v>
      </c>
      <c r="H43" s="115">
        <f>SUMIFS(Tabla_Registro_de_movimientos_app.accdb[Importe_Gasto],Tabla_Registro_de_movimientos_app.accdb[Sucursal],Sucursal_Semanal!H$5,Tabla_Registro_de_movimientos_app.accdb[Detalle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I43" s="187" t="e">
        <f t="shared" si="61"/>
        <v>#DIV/0!</v>
      </c>
      <c r="J43">
        <f>SUMIFS(Tabla_Registro_de_movimientos_app.accdb[Importe_Gasto],Tabla_Registro_de_movimientos_app.accdb[Sucursal],Sucursal_Semanal!J$5,Tabla_Registro_de_movimientos_app.accdb[Detalle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K43" s="187" t="e">
        <f t="shared" si="62"/>
        <v>#DIV/0!</v>
      </c>
      <c r="L43" s="115">
        <f>SUMIFS(Tabla_Registro_de_movimientos_app.accdb[Importe_Gasto],Tabla_Registro_de_movimientos_app.accdb[Sucursal],Sucursal_Semanal!L$5,Tabla_Registro_de_movimientos_app.accdb[Detalle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M43" s="187" t="e">
        <f t="shared" si="63"/>
        <v>#DIV/0!</v>
      </c>
      <c r="N43" s="115">
        <f>SUMIFS(Tabla_Registro_de_movimientos_app.accdb[Importe_Gasto],Tabla_Registro_de_movimientos_app.accdb[Sucursal],Sucursal_Semanal!N$5,Tabla_Registro_de_movimientos_app.accdb[Detalle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O43" s="187" t="e">
        <f t="shared" si="64"/>
        <v>#DIV/0!</v>
      </c>
      <c r="P43" s="115">
        <f>SUMIFS(Tabla_Registro_de_movimientos_app.accdb[Importe_Gasto],Tabla_Registro_de_movimientos_app.accdb[Sucursal],Sucursal_Semanal!P$5,Tabla_Registro_de_movimientos_app.accdb[Detalle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Q43" s="187" t="e">
        <f t="shared" si="65"/>
        <v>#DIV/0!</v>
      </c>
      <c r="R43" s="115">
        <f>SUMIFS(Tabla_Registro_de_movimientos_app.accdb[Importe_Gasto],Tabla_Registro_de_movimientos_app.accdb[Sucursal],Sucursal_Semanal!R$5,Tabla_Registro_de_movimientos_app.accdb[Detalle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S43" s="187" t="e">
        <f t="shared" si="66"/>
        <v>#DIV/0!</v>
      </c>
      <c r="T43" s="115">
        <f>SUMIFS(Tabla_Registro_de_movimientos_app.accdb[Importe_Gasto],Tabla_Registro_de_movimientos_app.accdb[Sucursal],Sucursal_Semanal!T$5,Tabla_Registro_de_movimientos_app.accdb[Detalle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U43" s="187" t="e">
        <f t="shared" si="67"/>
        <v>#DIV/0!</v>
      </c>
      <c r="V43">
        <f>SUMIFS(Tabla_Registro_de_movimientos_app.accdb[Importe_Gasto],Tabla_Registro_de_movimientos_app.accdb[Sucursal],Sucursal_Semanal!V$5,Tabla_Registro_de_movimientos_app.accdb[Detalle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W43" s="187" t="e">
        <f t="shared" si="68"/>
        <v>#DIV/0!</v>
      </c>
      <c r="X43" s="115">
        <f>SUMIFS(Tabla_Registro_de_movimientos_app.accdb[Importe_Gasto],Tabla_Registro_de_movimientos_app.accdb[Sucursal],Sucursal_Semanal!X$5,Tabla_Registro_de_movimientos_app.accdb[Detalle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Y43" s="187" t="e">
        <f t="shared" si="69"/>
        <v>#DIV/0!</v>
      </c>
      <c r="Z43" s="115">
        <f>SUMIFS(Tabla_Registro_de_movimientos_app.accdb[Importe_Gasto],Tabla_Registro_de_movimientos_app.accdb[Sucursal],Sucursal_Semanal!Z$5,Tabla_Registro_de_movimientos_app.accdb[Detalle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A43" s="187" t="e">
        <f t="shared" si="70"/>
        <v>#DIV/0!</v>
      </c>
      <c r="AB43" s="115">
        <f>SUMIFS(Tabla_Registro_de_movimientos_app.accdb[Importe_Gasto],Tabla_Registro_de_movimientos_app.accdb[Sucursal],Sucursal_Semanal!AB$5,Tabla_Registro_de_movimientos_app.accdb[Detalle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C43" s="187" t="e">
        <f t="shared" si="71"/>
        <v>#DIV/0!</v>
      </c>
      <c r="AD43" s="115">
        <f>SUMIFS(Tabla_Registro_de_movimientos_app.accdb[Importe_Gasto],Tabla_Registro_de_movimientos_app.accdb[Sucursal],Sucursal_Semanal!AD$5,Tabla_Registro_de_movimientos_app.accdb[Detalle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E43" s="187" t="e">
        <f t="shared" si="72"/>
        <v>#DIV/0!</v>
      </c>
      <c r="AF43" s="115">
        <f>SUMIFS(Tabla_Registro_de_movimientos_app.accdb[Importe_Gasto],Tabla_Registro_de_movimientos_app.accdb[Sucursal],Sucursal_Semanal!AF$5,Tabla_Registro_de_movimientos_app.accdb[Detalle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G43" s="187" t="e">
        <f t="shared" si="73"/>
        <v>#DIV/0!</v>
      </c>
      <c r="AH43" s="115">
        <f>SUMIFS(Tabla_Registro_de_movimientos_app.accdb[Importe_Gasto],Tabla_Registro_de_movimientos_app.accdb[Sucursal],Sucursal_Semanal!AH$5,Tabla_Registro_de_movimientos_app.accdb[Detalle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I43" s="187" t="e">
        <f t="shared" si="74"/>
        <v>#DIV/0!</v>
      </c>
      <c r="AJ43">
        <f>SUMIFS(Tabla_Registro_de_movimientos_app.accdb[Importe_Gasto],Tabla_Registro_de_movimientos_app.accdb[Sucursal],Sucursal_Semanal!AJ$5,Tabla_Registro_de_movimientos_app.accdb[Detalle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K43" s="187" t="e">
        <f t="shared" si="75"/>
        <v>#DIV/0!</v>
      </c>
      <c r="AM43" s="188">
        <f t="shared" si="76"/>
        <v>0</v>
      </c>
      <c r="AN43" s="189" t="e">
        <f t="shared" si="77"/>
        <v>#DIV/0!</v>
      </c>
    </row>
    <row r="44" spans="1:40" x14ac:dyDescent="0.25">
      <c r="A44" t="s">
        <v>52</v>
      </c>
      <c r="B44">
        <f>SUMIFS(Tabla_Registro_de_movimientos_app.accdb[Importe_Gasto],Tabla_Registro_de_movimientos_app.accdb[Sucursal],Sucursal_Semanal!$B$5,Tabla_Registro_de_movimientos_app.accdb[Detalle de movimiento],Sucursal_Semanal!A44,Tabla_Registro_de_movimientos_app.accdb[Fecha],"&gt;"&amp;Sucursal_Semanal!$B$4,Tabla_Registro_de_movimientos_app.accdb[Fecha],"&lt;="&amp;Sucursal_Semanal!$C$4)</f>
        <v>0</v>
      </c>
      <c r="C44" s="187" t="e">
        <f t="shared" si="58"/>
        <v>#DIV/0!</v>
      </c>
      <c r="D44" s="115">
        <f>SUMIFS(Tabla_Registro_de_movimientos_app.accdb[Importe_Gasto],Tabla_Registro_de_movimientos_app.accdb[Sucursal],Sucursal_Semanal!D$5,Tabla_Registro_de_movimientos_app.accdb[Detalle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E44" s="187" t="e">
        <f t="shared" si="59"/>
        <v>#DIV/0!</v>
      </c>
      <c r="F44" s="115">
        <f>SUMIFS(Tabla_Registro_de_movimientos_app.accdb[Importe_Gasto],Tabla_Registro_de_movimientos_app.accdb[Sucursal],Sucursal_Semanal!F$5,Tabla_Registro_de_movimientos_app.accdb[Detalle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G44" s="187" t="e">
        <f t="shared" si="60"/>
        <v>#DIV/0!</v>
      </c>
      <c r="H44" s="115">
        <f>SUMIFS(Tabla_Registro_de_movimientos_app.accdb[Importe_Gasto],Tabla_Registro_de_movimientos_app.accdb[Sucursal],Sucursal_Semanal!H$5,Tabla_Registro_de_movimientos_app.accdb[Detalle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I44" s="187" t="e">
        <f t="shared" si="61"/>
        <v>#DIV/0!</v>
      </c>
      <c r="J44">
        <f>SUMIFS(Tabla_Registro_de_movimientos_app.accdb[Importe_Gasto],Tabla_Registro_de_movimientos_app.accdb[Sucursal],Sucursal_Semanal!J$5,Tabla_Registro_de_movimientos_app.accdb[Detalle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K44" s="187" t="e">
        <f t="shared" si="62"/>
        <v>#DIV/0!</v>
      </c>
      <c r="L44" s="115">
        <f>SUMIFS(Tabla_Registro_de_movimientos_app.accdb[Importe_Gasto],Tabla_Registro_de_movimientos_app.accdb[Sucursal],Sucursal_Semanal!L$5,Tabla_Registro_de_movimientos_app.accdb[Detalle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M44" s="187" t="e">
        <f t="shared" si="63"/>
        <v>#DIV/0!</v>
      </c>
      <c r="N44" s="115">
        <f>SUMIFS(Tabla_Registro_de_movimientos_app.accdb[Importe_Gasto],Tabla_Registro_de_movimientos_app.accdb[Sucursal],Sucursal_Semanal!N$5,Tabla_Registro_de_movimientos_app.accdb[Detalle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O44" s="187" t="e">
        <f t="shared" si="64"/>
        <v>#DIV/0!</v>
      </c>
      <c r="P44" s="115">
        <f>SUMIFS(Tabla_Registro_de_movimientos_app.accdb[Importe_Gasto],Tabla_Registro_de_movimientos_app.accdb[Sucursal],Sucursal_Semanal!P$5,Tabla_Registro_de_movimientos_app.accdb[Detalle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Q44" s="187" t="e">
        <f t="shared" si="65"/>
        <v>#DIV/0!</v>
      </c>
      <c r="R44" s="115">
        <f>SUMIFS(Tabla_Registro_de_movimientos_app.accdb[Importe_Gasto],Tabla_Registro_de_movimientos_app.accdb[Sucursal],Sucursal_Semanal!R$5,Tabla_Registro_de_movimientos_app.accdb[Detalle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S44" s="187" t="e">
        <f t="shared" si="66"/>
        <v>#DIV/0!</v>
      </c>
      <c r="T44" s="115">
        <f>SUMIFS(Tabla_Registro_de_movimientos_app.accdb[Importe_Gasto],Tabla_Registro_de_movimientos_app.accdb[Sucursal],Sucursal_Semanal!T$5,Tabla_Registro_de_movimientos_app.accdb[Detalle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U44" s="187" t="e">
        <f t="shared" si="67"/>
        <v>#DIV/0!</v>
      </c>
      <c r="V44">
        <f>SUMIFS(Tabla_Registro_de_movimientos_app.accdb[Importe_Gasto],Tabla_Registro_de_movimientos_app.accdb[Sucursal],Sucursal_Semanal!V$5,Tabla_Registro_de_movimientos_app.accdb[Detalle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W44" s="187" t="e">
        <f t="shared" si="68"/>
        <v>#DIV/0!</v>
      </c>
      <c r="X44" s="115">
        <f>SUMIFS(Tabla_Registro_de_movimientos_app.accdb[Importe_Gasto],Tabla_Registro_de_movimientos_app.accdb[Sucursal],Sucursal_Semanal!X$5,Tabla_Registro_de_movimientos_app.accdb[Detalle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Y44" s="187" t="e">
        <f t="shared" si="69"/>
        <v>#DIV/0!</v>
      </c>
      <c r="Z44" s="115">
        <f>SUMIFS(Tabla_Registro_de_movimientos_app.accdb[Importe_Gasto],Tabla_Registro_de_movimientos_app.accdb[Sucursal],Sucursal_Semanal!Z$5,Tabla_Registro_de_movimientos_app.accdb[Detalle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A44" s="187" t="e">
        <f t="shared" si="70"/>
        <v>#DIV/0!</v>
      </c>
      <c r="AB44" s="115">
        <f>SUMIFS(Tabla_Registro_de_movimientos_app.accdb[Importe_Gasto],Tabla_Registro_de_movimientos_app.accdb[Sucursal],Sucursal_Semanal!AB$5,Tabla_Registro_de_movimientos_app.accdb[Detalle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C44" s="187" t="e">
        <f t="shared" si="71"/>
        <v>#DIV/0!</v>
      </c>
      <c r="AD44" s="115">
        <f>SUMIFS(Tabla_Registro_de_movimientos_app.accdb[Importe_Gasto],Tabla_Registro_de_movimientos_app.accdb[Sucursal],Sucursal_Semanal!AD$5,Tabla_Registro_de_movimientos_app.accdb[Detalle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E44" s="187" t="e">
        <f t="shared" si="72"/>
        <v>#DIV/0!</v>
      </c>
      <c r="AF44" s="115">
        <f>SUMIFS(Tabla_Registro_de_movimientos_app.accdb[Importe_Gasto],Tabla_Registro_de_movimientos_app.accdb[Sucursal],Sucursal_Semanal!AF$5,Tabla_Registro_de_movimientos_app.accdb[Detalle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G44" s="187" t="e">
        <f t="shared" si="73"/>
        <v>#DIV/0!</v>
      </c>
      <c r="AH44" s="115">
        <f>SUMIFS(Tabla_Registro_de_movimientos_app.accdb[Importe_Gasto],Tabla_Registro_de_movimientos_app.accdb[Sucursal],Sucursal_Semanal!AH$5,Tabla_Registro_de_movimientos_app.accdb[Detalle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I44" s="187" t="e">
        <f t="shared" si="74"/>
        <v>#DIV/0!</v>
      </c>
      <c r="AJ44">
        <f>SUMIFS(Tabla_Registro_de_movimientos_app.accdb[Importe_Gasto],Tabla_Registro_de_movimientos_app.accdb[Sucursal],Sucursal_Semanal!AJ$5,Tabla_Registro_de_movimientos_app.accdb[Detalle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K44" s="187" t="e">
        <f t="shared" si="75"/>
        <v>#DIV/0!</v>
      </c>
      <c r="AM44" s="188">
        <f t="shared" si="76"/>
        <v>0</v>
      </c>
      <c r="AN44" s="189" t="e">
        <f t="shared" si="77"/>
        <v>#DIV/0!</v>
      </c>
    </row>
    <row r="45" spans="1:40" x14ac:dyDescent="0.25">
      <c r="A45" t="s">
        <v>43</v>
      </c>
      <c r="B45">
        <f>SUMIFS(Tabla_Registro_de_movimientos_app.accdb[Importe_Gasto],Tabla_Registro_de_movimientos_app.accdb[Sucursal],Sucursal_Semanal!$B$5,Tabla_Registro_de_movimientos_app.accdb[Detalle de movimiento],Sucursal_Semanal!A45,Tabla_Registro_de_movimientos_app.accdb[Fecha],"&gt;"&amp;Sucursal_Semanal!$B$4,Tabla_Registro_de_movimientos_app.accdb[Fecha],"&lt;="&amp;Sucursal_Semanal!$C$4)</f>
        <v>0</v>
      </c>
      <c r="C45" s="187" t="e">
        <f t="shared" si="58"/>
        <v>#DIV/0!</v>
      </c>
      <c r="D45">
        <f>SUMIFS(Tabla_Registro_de_movimientos_app.accdb[Importe_Gasto],Tabla_Registro_de_movimientos_app.accdb[Sucursal],Sucursal_Semanal!D$5,Tabla_Registro_de_movimientos_app.accdb[Detalle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E45" s="187" t="e">
        <f t="shared" si="59"/>
        <v>#DIV/0!</v>
      </c>
      <c r="F45">
        <f>SUMIFS(Tabla_Registro_de_movimientos_app.accdb[Importe_Gasto],Tabla_Registro_de_movimientos_app.accdb[Sucursal],Sucursal_Semanal!F$5,Tabla_Registro_de_movimientos_app.accdb[Detalle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G45" s="187" t="e">
        <f t="shared" si="60"/>
        <v>#DIV/0!</v>
      </c>
      <c r="H45" s="115">
        <f>SUMIFS(Tabla_Registro_de_movimientos_app.accdb[Importe_Gasto],Tabla_Registro_de_movimientos_app.accdb[Sucursal],Sucursal_Semanal!H$5,Tabla_Registro_de_movimientos_app.accdb[Detalle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I45" s="187" t="e">
        <f t="shared" si="61"/>
        <v>#DIV/0!</v>
      </c>
      <c r="J45">
        <f>SUMIFS(Tabla_Registro_de_movimientos_app.accdb[Importe_Gasto],Tabla_Registro_de_movimientos_app.accdb[Sucursal],Sucursal_Semanal!J$5,Tabla_Registro_de_movimientos_app.accdb[Detalle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K45" s="187" t="e">
        <f t="shared" si="62"/>
        <v>#DIV/0!</v>
      </c>
      <c r="L45" s="115">
        <f>SUMIFS(Tabla_Registro_de_movimientos_app.accdb[Importe_Gasto],Tabla_Registro_de_movimientos_app.accdb[Sucursal],Sucursal_Semanal!L$5,Tabla_Registro_de_movimientos_app.accdb[Detalle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M45" s="187" t="e">
        <f t="shared" si="63"/>
        <v>#DIV/0!</v>
      </c>
      <c r="N45">
        <f>SUMIFS(Tabla_Registro_de_movimientos_app.accdb[Importe_Gasto],Tabla_Registro_de_movimientos_app.accdb[Sucursal],Sucursal_Semanal!N$5,Tabla_Registro_de_movimientos_app.accdb[Detalle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O45" s="187" t="e">
        <f t="shared" si="64"/>
        <v>#DIV/0!</v>
      </c>
      <c r="P45" s="115">
        <f>SUMIFS(Tabla_Registro_de_movimientos_app.accdb[Importe_Gasto],Tabla_Registro_de_movimientos_app.accdb[Sucursal],Sucursal_Semanal!P$5,Tabla_Registro_de_movimientos_app.accdb[Detalle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Q45" s="187" t="e">
        <f t="shared" si="65"/>
        <v>#DIV/0!</v>
      </c>
      <c r="R45" s="115">
        <f>SUMIFS(Tabla_Registro_de_movimientos_app.accdb[Importe_Gasto],Tabla_Registro_de_movimientos_app.accdb[Sucursal],Sucursal_Semanal!R$5,Tabla_Registro_de_movimientos_app.accdb[Detalle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S45" s="187" t="e">
        <f t="shared" si="66"/>
        <v>#DIV/0!</v>
      </c>
      <c r="T45" s="115">
        <f>SUMIFS(Tabla_Registro_de_movimientos_app.accdb[Importe_Gasto],Tabla_Registro_de_movimientos_app.accdb[Sucursal],Sucursal_Semanal!T$5,Tabla_Registro_de_movimientos_app.accdb[Detalle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U45" s="187" t="e">
        <f t="shared" si="67"/>
        <v>#DIV/0!</v>
      </c>
      <c r="V45">
        <f>SUMIFS(Tabla_Registro_de_movimientos_app.accdb[Importe_Gasto],Tabla_Registro_de_movimientos_app.accdb[Sucursal],Sucursal_Semanal!V$5,Tabla_Registro_de_movimientos_app.accdb[Detalle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W45" s="187" t="e">
        <f t="shared" si="68"/>
        <v>#DIV/0!</v>
      </c>
      <c r="X45" s="115">
        <f>SUMIFS(Tabla_Registro_de_movimientos_app.accdb[Importe_Gasto],Tabla_Registro_de_movimientos_app.accdb[Sucursal],Sucursal_Semanal!X$5,Tabla_Registro_de_movimientos_app.accdb[Detalle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Y45" s="187" t="e">
        <f t="shared" si="69"/>
        <v>#DIV/0!</v>
      </c>
      <c r="Z45" s="115">
        <f>SUMIFS(Tabla_Registro_de_movimientos_app.accdb[Importe_Gasto],Tabla_Registro_de_movimientos_app.accdb[Sucursal],Sucursal_Semanal!Z$5,Tabla_Registro_de_movimientos_app.accdb[Detalle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A45" s="187" t="e">
        <f t="shared" si="70"/>
        <v>#DIV/0!</v>
      </c>
      <c r="AB45" s="115">
        <f>SUMIFS(Tabla_Registro_de_movimientos_app.accdb[Importe_Gasto],Tabla_Registro_de_movimientos_app.accdb[Sucursal],Sucursal_Semanal!AB$5,Tabla_Registro_de_movimientos_app.accdb[Detalle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C45" s="187" t="e">
        <f t="shared" si="71"/>
        <v>#DIV/0!</v>
      </c>
      <c r="AD45" s="115">
        <f>SUMIFS(Tabla_Registro_de_movimientos_app.accdb[Importe_Gasto],Tabla_Registro_de_movimientos_app.accdb[Sucursal],Sucursal_Semanal!AD$5,Tabla_Registro_de_movimientos_app.accdb[Detalle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E45" s="187" t="e">
        <f t="shared" si="72"/>
        <v>#DIV/0!</v>
      </c>
      <c r="AF45" s="115">
        <f>SUMIFS(Tabla_Registro_de_movimientos_app.accdb[Importe_Gasto],Tabla_Registro_de_movimientos_app.accdb[Sucursal],Sucursal_Semanal!AF$5,Tabla_Registro_de_movimientos_app.accdb[Detalle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G45" s="187" t="e">
        <f t="shared" si="73"/>
        <v>#DIV/0!</v>
      </c>
      <c r="AH45" s="115">
        <f>SUMIFS(Tabla_Registro_de_movimientos_app.accdb[Importe_Gasto],Tabla_Registro_de_movimientos_app.accdb[Sucursal],Sucursal_Semanal!AH$5,Tabla_Registro_de_movimientos_app.accdb[Detalle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I45" s="187" t="e">
        <f t="shared" si="74"/>
        <v>#DIV/0!</v>
      </c>
      <c r="AJ45">
        <f>SUMIFS(Tabla_Registro_de_movimientos_app.accdb[Importe_Gasto],Tabla_Registro_de_movimientos_app.accdb[Sucursal],Sucursal_Semanal!AJ$5,Tabla_Registro_de_movimientos_app.accdb[Detalle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K45" s="187" t="e">
        <f t="shared" si="75"/>
        <v>#DIV/0!</v>
      </c>
      <c r="AM45" s="188">
        <f t="shared" si="76"/>
        <v>0</v>
      </c>
      <c r="AN45" s="189" t="e">
        <f t="shared" si="77"/>
        <v>#DIV/0!</v>
      </c>
    </row>
    <row r="46" spans="1:40" x14ac:dyDescent="0.25">
      <c r="A46" t="s">
        <v>44</v>
      </c>
      <c r="B46">
        <f>SUMIFS(Tabla_Registro_de_movimientos_app.accdb[Importe_Gasto],Tabla_Registro_de_movimientos_app.accdb[Sucursal],Sucursal_Semanal!$B$5,Tabla_Registro_de_movimientos_app.accdb[Detalle de movimiento],Sucursal_Semanal!A46,Tabla_Registro_de_movimientos_app.accdb[Fecha],"&gt;"&amp;Sucursal_Semanal!$B$4,Tabla_Registro_de_movimientos_app.accdb[Fecha],"&lt;="&amp;Sucursal_Semanal!$C$4)</f>
        <v>0</v>
      </c>
      <c r="C46" s="187" t="e">
        <f t="shared" si="58"/>
        <v>#DIV/0!</v>
      </c>
      <c r="D46">
        <f>SUMIFS(Tabla_Registro_de_movimientos_app.accdb[Importe_Gasto],Tabla_Registro_de_movimientos_app.accdb[Sucursal],Sucursal_Semanal!D$5,Tabla_Registro_de_movimientos_app.accdb[Detalle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E46" s="187" t="e">
        <f t="shared" si="59"/>
        <v>#DIV/0!</v>
      </c>
      <c r="F46">
        <f>SUMIFS(Tabla_Registro_de_movimientos_app.accdb[Importe_Gasto],Tabla_Registro_de_movimientos_app.accdb[Sucursal],Sucursal_Semanal!F$5,Tabla_Registro_de_movimientos_app.accdb[Detalle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G46" s="187" t="e">
        <f t="shared" si="60"/>
        <v>#DIV/0!</v>
      </c>
      <c r="H46" s="115">
        <f>SUMIFS(Tabla_Registro_de_movimientos_app.accdb[Importe_Gasto],Tabla_Registro_de_movimientos_app.accdb[Sucursal],Sucursal_Semanal!H$5,Tabla_Registro_de_movimientos_app.accdb[Detalle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I46" s="187" t="e">
        <f t="shared" si="61"/>
        <v>#DIV/0!</v>
      </c>
      <c r="J46">
        <f>SUMIFS(Tabla_Registro_de_movimientos_app.accdb[Importe_Gasto],Tabla_Registro_de_movimientos_app.accdb[Sucursal],Sucursal_Semanal!J$5,Tabla_Registro_de_movimientos_app.accdb[Detalle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K46" s="187" t="e">
        <f t="shared" si="62"/>
        <v>#DIV/0!</v>
      </c>
      <c r="L46">
        <f>SUMIFS(Tabla_Registro_de_movimientos_app.accdb[Importe_Gasto],Tabla_Registro_de_movimientos_app.accdb[Sucursal],Sucursal_Semanal!L$5,Tabla_Registro_de_movimientos_app.accdb[Detalle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M46" s="187" t="e">
        <f t="shared" si="63"/>
        <v>#DIV/0!</v>
      </c>
      <c r="N46">
        <f>SUMIFS(Tabla_Registro_de_movimientos_app.accdb[Importe_Gasto],Tabla_Registro_de_movimientos_app.accdb[Sucursal],Sucursal_Semanal!N$5,Tabla_Registro_de_movimientos_app.accdb[Detalle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O46" s="187" t="e">
        <f t="shared" si="64"/>
        <v>#DIV/0!</v>
      </c>
      <c r="P46">
        <f>SUMIFS(Tabla_Registro_de_movimientos_app.accdb[Importe_Gasto],Tabla_Registro_de_movimientos_app.accdb[Sucursal],Sucursal_Semanal!P$5,Tabla_Registro_de_movimientos_app.accdb[Detalle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Q46" s="187" t="e">
        <f t="shared" si="65"/>
        <v>#DIV/0!</v>
      </c>
      <c r="R46" s="115">
        <f>SUMIFS(Tabla_Registro_de_movimientos_app.accdb[Importe_Gasto],Tabla_Registro_de_movimientos_app.accdb[Sucursal],Sucursal_Semanal!R$5,Tabla_Registro_de_movimientos_app.accdb[Detalle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S46" s="187" t="e">
        <f t="shared" si="66"/>
        <v>#DIV/0!</v>
      </c>
      <c r="T46" s="115">
        <f>SUMIFS(Tabla_Registro_de_movimientos_app.accdb[Importe_Gasto],Tabla_Registro_de_movimientos_app.accdb[Sucursal],Sucursal_Semanal!T$5,Tabla_Registro_de_movimientos_app.accdb[Detalle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U46" s="187" t="e">
        <f t="shared" si="67"/>
        <v>#DIV/0!</v>
      </c>
      <c r="V46">
        <f>SUMIFS(Tabla_Registro_de_movimientos_app.accdb[Importe_Gasto],Tabla_Registro_de_movimientos_app.accdb[Sucursal],Sucursal_Semanal!V$5,Tabla_Registro_de_movimientos_app.accdb[Detalle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W46" s="187" t="e">
        <f t="shared" si="68"/>
        <v>#DIV/0!</v>
      </c>
      <c r="X46" s="115">
        <f>SUMIFS(Tabla_Registro_de_movimientos_app.accdb[Importe_Gasto],Tabla_Registro_de_movimientos_app.accdb[Sucursal],Sucursal_Semanal!X$5,Tabla_Registro_de_movimientos_app.accdb[Detalle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Y46" s="187" t="e">
        <f t="shared" si="69"/>
        <v>#DIV/0!</v>
      </c>
      <c r="Z46" s="115">
        <f>SUMIFS(Tabla_Registro_de_movimientos_app.accdb[Importe_Gasto],Tabla_Registro_de_movimientos_app.accdb[Sucursal],Sucursal_Semanal!Z$5,Tabla_Registro_de_movimientos_app.accdb[Detalle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A46" s="187" t="e">
        <f t="shared" si="70"/>
        <v>#DIV/0!</v>
      </c>
      <c r="AB46" s="115">
        <f>SUMIFS(Tabla_Registro_de_movimientos_app.accdb[Importe_Gasto],Tabla_Registro_de_movimientos_app.accdb[Sucursal],Sucursal_Semanal!AB$5,Tabla_Registro_de_movimientos_app.accdb[Detalle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C46" s="187" t="e">
        <f t="shared" si="71"/>
        <v>#DIV/0!</v>
      </c>
      <c r="AD46" s="115">
        <f>SUMIFS(Tabla_Registro_de_movimientos_app.accdb[Importe_Gasto],Tabla_Registro_de_movimientos_app.accdb[Sucursal],Sucursal_Semanal!AD$5,Tabla_Registro_de_movimientos_app.accdb[Detalle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E46" s="187" t="e">
        <f t="shared" si="72"/>
        <v>#DIV/0!</v>
      </c>
      <c r="AF46" s="115">
        <f>SUMIFS(Tabla_Registro_de_movimientos_app.accdb[Importe_Gasto],Tabla_Registro_de_movimientos_app.accdb[Sucursal],Sucursal_Semanal!AF$5,Tabla_Registro_de_movimientos_app.accdb[Detalle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G46" s="187" t="e">
        <f t="shared" si="73"/>
        <v>#DIV/0!</v>
      </c>
      <c r="AH46" s="115">
        <f>SUMIFS(Tabla_Registro_de_movimientos_app.accdb[Importe_Gasto],Tabla_Registro_de_movimientos_app.accdb[Sucursal],Sucursal_Semanal!AH$5,Tabla_Registro_de_movimientos_app.accdb[Detalle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I46" s="187" t="e">
        <f t="shared" si="74"/>
        <v>#DIV/0!</v>
      </c>
      <c r="AJ46">
        <f>SUMIFS(Tabla_Registro_de_movimientos_app.accdb[Importe_Gasto],Tabla_Registro_de_movimientos_app.accdb[Sucursal],Sucursal_Semanal!AJ$5,Tabla_Registro_de_movimientos_app.accdb[Detalle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K46" s="187" t="e">
        <f t="shared" si="75"/>
        <v>#DIV/0!</v>
      </c>
      <c r="AM46" s="188">
        <f t="shared" si="76"/>
        <v>0</v>
      </c>
      <c r="AN46" s="189" t="e">
        <f t="shared" si="77"/>
        <v>#DIV/0!</v>
      </c>
    </row>
    <row r="47" spans="1:40" x14ac:dyDescent="0.25">
      <c r="A47" t="s">
        <v>45</v>
      </c>
      <c r="B47">
        <f>SUMIFS(Tabla_Registro_de_movimientos_app.accdb[Importe_Gasto],Tabla_Registro_de_movimientos_app.accdb[Sucursal],Sucursal_Semanal!$B$5,Tabla_Registro_de_movimientos_app.accdb[Detalle de movimiento],Sucursal_Semanal!A47,Tabla_Registro_de_movimientos_app.accdb[Fecha],"&gt;"&amp;Sucursal_Semanal!$B$4,Tabla_Registro_de_movimientos_app.accdb[Fecha],"&lt;="&amp;Sucursal_Semanal!$C$4)</f>
        <v>0</v>
      </c>
      <c r="C47" s="187" t="e">
        <f t="shared" si="58"/>
        <v>#DIV/0!</v>
      </c>
      <c r="D47">
        <f>SUMIFS(Tabla_Registro_de_movimientos_app.accdb[Importe_Gasto],Tabla_Registro_de_movimientos_app.accdb[Sucursal],Sucursal_Semanal!D$5,Tabla_Registro_de_movimientos_app.accdb[Detalle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E47" s="187" t="e">
        <f t="shared" si="59"/>
        <v>#DIV/0!</v>
      </c>
      <c r="F47">
        <f>SUMIFS(Tabla_Registro_de_movimientos_app.accdb[Importe_Gasto],Tabla_Registro_de_movimientos_app.accdb[Sucursal],Sucursal_Semanal!F$5,Tabla_Registro_de_movimientos_app.accdb[Detalle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G47" s="187" t="e">
        <f t="shared" si="60"/>
        <v>#DIV/0!</v>
      </c>
      <c r="H47">
        <f>SUMIFS(Tabla_Registro_de_movimientos_app.accdb[Importe_Gasto],Tabla_Registro_de_movimientos_app.accdb[Sucursal],Sucursal_Semanal!H$5,Tabla_Registro_de_movimientos_app.accdb[Detalle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I47" s="187" t="e">
        <f t="shared" si="61"/>
        <v>#DIV/0!</v>
      </c>
      <c r="J47">
        <f>SUMIFS(Tabla_Registro_de_movimientos_app.accdb[Importe_Gasto],Tabla_Registro_de_movimientos_app.accdb[Sucursal],Sucursal_Semanal!J$5,Tabla_Registro_de_movimientos_app.accdb[Detalle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K47" s="187" t="e">
        <f t="shared" si="62"/>
        <v>#DIV/0!</v>
      </c>
      <c r="L47">
        <f>SUMIFS(Tabla_Registro_de_movimientos_app.accdb[Importe_Gasto],Tabla_Registro_de_movimientos_app.accdb[Sucursal],Sucursal_Semanal!L$5,Tabla_Registro_de_movimientos_app.accdb[Detalle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M47" s="187" t="e">
        <f t="shared" si="63"/>
        <v>#DIV/0!</v>
      </c>
      <c r="N47">
        <f>SUMIFS(Tabla_Registro_de_movimientos_app.accdb[Importe_Gasto],Tabla_Registro_de_movimientos_app.accdb[Sucursal],Sucursal_Semanal!N$5,Tabla_Registro_de_movimientos_app.accdb[Detalle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O47" s="187" t="e">
        <f t="shared" si="64"/>
        <v>#DIV/0!</v>
      </c>
      <c r="P47">
        <f>SUMIFS(Tabla_Registro_de_movimientos_app.accdb[Importe_Gasto],Tabla_Registro_de_movimientos_app.accdb[Sucursal],Sucursal_Semanal!P$5,Tabla_Registro_de_movimientos_app.accdb[Detalle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Q47" s="187" t="e">
        <f t="shared" si="65"/>
        <v>#DIV/0!</v>
      </c>
      <c r="R47" s="115">
        <f>SUMIFS(Tabla_Registro_de_movimientos_app.accdb[Importe_Gasto],Tabla_Registro_de_movimientos_app.accdb[Sucursal],Sucursal_Semanal!R$5,Tabla_Registro_de_movimientos_app.accdb[Detalle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S47" s="187" t="e">
        <f t="shared" si="66"/>
        <v>#DIV/0!</v>
      </c>
      <c r="T47" s="115">
        <f>SUMIFS(Tabla_Registro_de_movimientos_app.accdb[Importe_Gasto],Tabla_Registro_de_movimientos_app.accdb[Sucursal],Sucursal_Semanal!T$5,Tabla_Registro_de_movimientos_app.accdb[Detalle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U47" s="187" t="e">
        <f t="shared" si="67"/>
        <v>#DIV/0!</v>
      </c>
      <c r="V47">
        <f>SUMIFS(Tabla_Registro_de_movimientos_app.accdb[Importe_Gasto],Tabla_Registro_de_movimientos_app.accdb[Sucursal],Sucursal_Semanal!V$5,Tabla_Registro_de_movimientos_app.accdb[Detalle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W47" s="187" t="e">
        <f t="shared" si="68"/>
        <v>#DIV/0!</v>
      </c>
      <c r="X47" s="115">
        <f>SUMIFS(Tabla_Registro_de_movimientos_app.accdb[Importe_Gasto],Tabla_Registro_de_movimientos_app.accdb[Sucursal],Sucursal_Semanal!X$5,Tabla_Registro_de_movimientos_app.accdb[Detalle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Y47" s="187" t="e">
        <f t="shared" si="69"/>
        <v>#DIV/0!</v>
      </c>
      <c r="Z47" s="115">
        <f>SUMIFS(Tabla_Registro_de_movimientos_app.accdb[Importe_Gasto],Tabla_Registro_de_movimientos_app.accdb[Sucursal],Sucursal_Semanal!Z$5,Tabla_Registro_de_movimientos_app.accdb[Detalle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A47" s="187" t="e">
        <f t="shared" si="70"/>
        <v>#DIV/0!</v>
      </c>
      <c r="AB47" s="115">
        <f>SUMIFS(Tabla_Registro_de_movimientos_app.accdb[Importe_Gasto],Tabla_Registro_de_movimientos_app.accdb[Sucursal],Sucursal_Semanal!AB$5,Tabla_Registro_de_movimientos_app.accdb[Detalle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C47" s="187" t="e">
        <f t="shared" si="71"/>
        <v>#DIV/0!</v>
      </c>
      <c r="AD47" s="115">
        <f>SUMIFS(Tabla_Registro_de_movimientos_app.accdb[Importe_Gasto],Tabla_Registro_de_movimientos_app.accdb[Sucursal],Sucursal_Semanal!AD$5,Tabla_Registro_de_movimientos_app.accdb[Detalle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E47" s="187" t="e">
        <f t="shared" si="72"/>
        <v>#DIV/0!</v>
      </c>
      <c r="AF47" s="115">
        <f>SUMIFS(Tabla_Registro_de_movimientos_app.accdb[Importe_Gasto],Tabla_Registro_de_movimientos_app.accdb[Sucursal],Sucursal_Semanal!AF$5,Tabla_Registro_de_movimientos_app.accdb[Detalle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G47" s="187" t="e">
        <f t="shared" si="73"/>
        <v>#DIV/0!</v>
      </c>
      <c r="AH47" s="115">
        <f>SUMIFS(Tabla_Registro_de_movimientos_app.accdb[Importe_Gasto],Tabla_Registro_de_movimientos_app.accdb[Sucursal],Sucursal_Semanal!AH$5,Tabla_Registro_de_movimientos_app.accdb[Detalle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I47" s="187" t="e">
        <f t="shared" si="74"/>
        <v>#DIV/0!</v>
      </c>
      <c r="AJ47">
        <f>SUMIFS(Tabla_Registro_de_movimientos_app.accdb[Importe_Gasto],Tabla_Registro_de_movimientos_app.accdb[Sucursal],Sucursal_Semanal!AJ$5,Tabla_Registro_de_movimientos_app.accdb[Detalle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K47" s="187" t="e">
        <f t="shared" si="75"/>
        <v>#DIV/0!</v>
      </c>
      <c r="AM47" s="188">
        <f t="shared" si="76"/>
        <v>0</v>
      </c>
      <c r="AN47" s="189" t="e">
        <f t="shared" si="77"/>
        <v>#DIV/0!</v>
      </c>
    </row>
    <row r="48" spans="1:40" x14ac:dyDescent="0.25">
      <c r="A48" t="s">
        <v>46</v>
      </c>
      <c r="B48">
        <f>SUMIFS(Tabla_Registro_de_movimientos_app.accdb[Importe_Gasto],Tabla_Registro_de_movimientos_app.accdb[Sucursal],Sucursal_Semanal!$B$5,Tabla_Registro_de_movimientos_app.accdb[Detalle de movimiento],Sucursal_Semanal!A48,Tabla_Registro_de_movimientos_app.accdb[Fecha],"&gt;"&amp;Sucursal_Semanal!$B$4,Tabla_Registro_de_movimientos_app.accdb[Fecha],"&lt;="&amp;Sucursal_Semanal!$C$4)</f>
        <v>0</v>
      </c>
      <c r="C48" s="187" t="e">
        <f t="shared" si="58"/>
        <v>#DIV/0!</v>
      </c>
      <c r="D48">
        <f>SUMIFS(Tabla_Registro_de_movimientos_app.accdb[Importe_Gasto],Tabla_Registro_de_movimientos_app.accdb[Sucursal],Sucursal_Semanal!D$5,Tabla_Registro_de_movimientos_app.accdb[Detalle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E48" s="187" t="e">
        <f t="shared" si="59"/>
        <v>#DIV/0!</v>
      </c>
      <c r="F48">
        <f>SUMIFS(Tabla_Registro_de_movimientos_app.accdb[Importe_Gasto],Tabla_Registro_de_movimientos_app.accdb[Sucursal],Sucursal_Semanal!F$5,Tabla_Registro_de_movimientos_app.accdb[Detalle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G48" s="187" t="e">
        <f t="shared" si="60"/>
        <v>#DIV/0!</v>
      </c>
      <c r="H48">
        <f>SUMIFS(Tabla_Registro_de_movimientos_app.accdb[Importe_Gasto],Tabla_Registro_de_movimientos_app.accdb[Sucursal],Sucursal_Semanal!H$5,Tabla_Registro_de_movimientos_app.accdb[Detalle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I48" s="187" t="e">
        <f t="shared" si="61"/>
        <v>#DIV/0!</v>
      </c>
      <c r="J48">
        <f>SUMIFS(Tabla_Registro_de_movimientos_app.accdb[Importe_Gasto],Tabla_Registro_de_movimientos_app.accdb[Sucursal],Sucursal_Semanal!J$5,Tabla_Registro_de_movimientos_app.accdb[Detalle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K48" s="187" t="e">
        <f t="shared" si="62"/>
        <v>#DIV/0!</v>
      </c>
      <c r="L48">
        <f>SUMIFS(Tabla_Registro_de_movimientos_app.accdb[Importe_Gasto],Tabla_Registro_de_movimientos_app.accdb[Sucursal],Sucursal_Semanal!L$5,Tabla_Registro_de_movimientos_app.accdb[Detalle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M48" s="187" t="e">
        <f t="shared" si="63"/>
        <v>#DIV/0!</v>
      </c>
      <c r="N48">
        <f>SUMIFS(Tabla_Registro_de_movimientos_app.accdb[Importe_Gasto],Tabla_Registro_de_movimientos_app.accdb[Sucursal],Sucursal_Semanal!N$5,Tabla_Registro_de_movimientos_app.accdb[Detalle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O48" s="187" t="e">
        <f t="shared" si="64"/>
        <v>#DIV/0!</v>
      </c>
      <c r="P48">
        <f>SUMIFS(Tabla_Registro_de_movimientos_app.accdb[Importe_Gasto],Tabla_Registro_de_movimientos_app.accdb[Sucursal],Sucursal_Semanal!P$5,Tabla_Registro_de_movimientos_app.accdb[Detalle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Q48" s="187" t="e">
        <f t="shared" si="65"/>
        <v>#DIV/0!</v>
      </c>
      <c r="R48" s="115">
        <f>SUMIFS(Tabla_Registro_de_movimientos_app.accdb[Importe_Gasto],Tabla_Registro_de_movimientos_app.accdb[Sucursal],Sucursal_Semanal!R$5,Tabla_Registro_de_movimientos_app.accdb[Detalle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S48" s="187" t="e">
        <f t="shared" si="66"/>
        <v>#DIV/0!</v>
      </c>
      <c r="T48" s="115">
        <f>SUMIFS(Tabla_Registro_de_movimientos_app.accdb[Importe_Gasto],Tabla_Registro_de_movimientos_app.accdb[Sucursal],Sucursal_Semanal!T$5,Tabla_Registro_de_movimientos_app.accdb[Detalle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U48" s="187" t="e">
        <f t="shared" si="67"/>
        <v>#DIV/0!</v>
      </c>
      <c r="V48">
        <f>SUMIFS(Tabla_Registro_de_movimientos_app.accdb[Importe_Gasto],Tabla_Registro_de_movimientos_app.accdb[Sucursal],Sucursal_Semanal!V$5,Tabla_Registro_de_movimientos_app.accdb[Detalle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W48" s="187" t="e">
        <f t="shared" si="68"/>
        <v>#DIV/0!</v>
      </c>
      <c r="X48" s="115">
        <f>SUMIFS(Tabla_Registro_de_movimientos_app.accdb[Importe_Gasto],Tabla_Registro_de_movimientos_app.accdb[Sucursal],Sucursal_Semanal!X$5,Tabla_Registro_de_movimientos_app.accdb[Detalle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Y48" s="187" t="e">
        <f t="shared" si="69"/>
        <v>#DIV/0!</v>
      </c>
      <c r="Z48" s="115">
        <f>SUMIFS(Tabla_Registro_de_movimientos_app.accdb[Importe_Gasto],Tabla_Registro_de_movimientos_app.accdb[Sucursal],Sucursal_Semanal!Z$5,Tabla_Registro_de_movimientos_app.accdb[Detalle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A48" s="187" t="e">
        <f t="shared" si="70"/>
        <v>#DIV/0!</v>
      </c>
      <c r="AB48" s="115">
        <f>SUMIFS(Tabla_Registro_de_movimientos_app.accdb[Importe_Gasto],Tabla_Registro_de_movimientos_app.accdb[Sucursal],Sucursal_Semanal!AB$5,Tabla_Registro_de_movimientos_app.accdb[Detalle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C48" s="187" t="e">
        <f t="shared" si="71"/>
        <v>#DIV/0!</v>
      </c>
      <c r="AD48" s="115">
        <f>SUMIFS(Tabla_Registro_de_movimientos_app.accdb[Importe_Gasto],Tabla_Registro_de_movimientos_app.accdb[Sucursal],Sucursal_Semanal!AD$5,Tabla_Registro_de_movimientos_app.accdb[Detalle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E48" s="187" t="e">
        <f t="shared" si="72"/>
        <v>#DIV/0!</v>
      </c>
      <c r="AF48" s="115">
        <f>SUMIFS(Tabla_Registro_de_movimientos_app.accdb[Importe_Gasto],Tabla_Registro_de_movimientos_app.accdb[Sucursal],Sucursal_Semanal!AF$5,Tabla_Registro_de_movimientos_app.accdb[Detalle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G48" s="187" t="e">
        <f t="shared" si="73"/>
        <v>#DIV/0!</v>
      </c>
      <c r="AH48" s="115">
        <f>SUMIFS(Tabla_Registro_de_movimientos_app.accdb[Importe_Gasto],Tabla_Registro_de_movimientos_app.accdb[Sucursal],Sucursal_Semanal!AH$5,Tabla_Registro_de_movimientos_app.accdb[Detalle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I48" s="187" t="e">
        <f t="shared" si="74"/>
        <v>#DIV/0!</v>
      </c>
      <c r="AJ48">
        <f>SUMIFS(Tabla_Registro_de_movimientos_app.accdb[Importe_Gasto],Tabla_Registro_de_movimientos_app.accdb[Sucursal],Sucursal_Semanal!AJ$5,Tabla_Registro_de_movimientos_app.accdb[Detalle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K48" s="187" t="e">
        <f t="shared" si="75"/>
        <v>#DIV/0!</v>
      </c>
      <c r="AM48" s="188">
        <f t="shared" si="76"/>
        <v>0</v>
      </c>
      <c r="AN48" s="189" t="e">
        <f t="shared" si="77"/>
        <v>#DIV/0!</v>
      </c>
    </row>
    <row r="49" spans="1:40" x14ac:dyDescent="0.25">
      <c r="A49" t="s">
        <v>47</v>
      </c>
      <c r="B49">
        <f>SUMIFS(Tabla_Registro_de_movimientos_app.accdb[Importe_Gasto],Tabla_Registro_de_movimientos_app.accdb[Sucursal],Sucursal_Semanal!$B$5,Tabla_Registro_de_movimientos_app.accdb[Detalle de movimiento],Sucursal_Semanal!A49,Tabla_Registro_de_movimientos_app.accdb[Fecha],"&gt;"&amp;Sucursal_Semanal!$B$4,Tabla_Registro_de_movimientos_app.accdb[Fecha],"&lt;="&amp;Sucursal_Semanal!$C$4)</f>
        <v>0</v>
      </c>
      <c r="C49" s="187" t="e">
        <f t="shared" si="58"/>
        <v>#DIV/0!</v>
      </c>
      <c r="D49">
        <f>SUMIFS(Tabla_Registro_de_movimientos_app.accdb[Importe_Gasto],Tabla_Registro_de_movimientos_app.accdb[Sucursal],Sucursal_Semanal!D$5,Tabla_Registro_de_movimientos_app.accdb[Detalle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E49" s="187" t="e">
        <f t="shared" si="59"/>
        <v>#DIV/0!</v>
      </c>
      <c r="F49">
        <f>SUMIFS(Tabla_Registro_de_movimientos_app.accdb[Importe_Gasto],Tabla_Registro_de_movimientos_app.accdb[Sucursal],Sucursal_Semanal!F$5,Tabla_Registro_de_movimientos_app.accdb[Detalle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G49" s="187" t="e">
        <f t="shared" si="60"/>
        <v>#DIV/0!</v>
      </c>
      <c r="H49">
        <f>SUMIFS(Tabla_Registro_de_movimientos_app.accdb[Importe_Gasto],Tabla_Registro_de_movimientos_app.accdb[Sucursal],Sucursal_Semanal!H$5,Tabla_Registro_de_movimientos_app.accdb[Detalle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I49" s="187" t="e">
        <f t="shared" si="61"/>
        <v>#DIV/0!</v>
      </c>
      <c r="J49">
        <f>SUMIFS(Tabla_Registro_de_movimientos_app.accdb[Importe_Gasto],Tabla_Registro_de_movimientos_app.accdb[Sucursal],Sucursal_Semanal!J$5,Tabla_Registro_de_movimientos_app.accdb[Detalle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K49" s="187" t="e">
        <f t="shared" si="62"/>
        <v>#DIV/0!</v>
      </c>
      <c r="L49">
        <f>SUMIFS(Tabla_Registro_de_movimientos_app.accdb[Importe_Gasto],Tabla_Registro_de_movimientos_app.accdb[Sucursal],Sucursal_Semanal!L$5,Tabla_Registro_de_movimientos_app.accdb[Detalle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M49" s="187" t="e">
        <f t="shared" si="63"/>
        <v>#DIV/0!</v>
      </c>
      <c r="N49">
        <f>SUMIFS(Tabla_Registro_de_movimientos_app.accdb[Importe_Gasto],Tabla_Registro_de_movimientos_app.accdb[Sucursal],Sucursal_Semanal!N$5,Tabla_Registro_de_movimientos_app.accdb[Detalle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O49" s="187" t="e">
        <f t="shared" si="64"/>
        <v>#DIV/0!</v>
      </c>
      <c r="P49">
        <f>SUMIFS(Tabla_Registro_de_movimientos_app.accdb[Importe_Gasto],Tabla_Registro_de_movimientos_app.accdb[Sucursal],Sucursal_Semanal!P$5,Tabla_Registro_de_movimientos_app.accdb[Detalle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Q49" s="187" t="e">
        <f t="shared" si="65"/>
        <v>#DIV/0!</v>
      </c>
      <c r="R49" s="115">
        <f>SUMIFS(Tabla_Registro_de_movimientos_app.accdb[Importe_Gasto],Tabla_Registro_de_movimientos_app.accdb[Sucursal],Sucursal_Semanal!R$5,Tabla_Registro_de_movimientos_app.accdb[Detalle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S49" s="187" t="e">
        <f t="shared" si="66"/>
        <v>#DIV/0!</v>
      </c>
      <c r="T49" s="115">
        <f>SUMIFS(Tabla_Registro_de_movimientos_app.accdb[Importe_Gasto],Tabla_Registro_de_movimientos_app.accdb[Sucursal],Sucursal_Semanal!T$5,Tabla_Registro_de_movimientos_app.accdb[Detalle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U49" s="187" t="e">
        <f t="shared" si="67"/>
        <v>#DIV/0!</v>
      </c>
      <c r="V49">
        <f>SUMIFS(Tabla_Registro_de_movimientos_app.accdb[Importe_Gasto],Tabla_Registro_de_movimientos_app.accdb[Sucursal],Sucursal_Semanal!V$5,Tabla_Registro_de_movimientos_app.accdb[Detalle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W49" s="187" t="e">
        <f t="shared" si="68"/>
        <v>#DIV/0!</v>
      </c>
      <c r="X49" s="115">
        <f>SUMIFS(Tabla_Registro_de_movimientos_app.accdb[Importe_Gasto],Tabla_Registro_de_movimientos_app.accdb[Sucursal],Sucursal_Semanal!X$5,Tabla_Registro_de_movimientos_app.accdb[Detalle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Y49" s="187" t="e">
        <f t="shared" si="69"/>
        <v>#DIV/0!</v>
      </c>
      <c r="Z49" s="115">
        <f>SUMIFS(Tabla_Registro_de_movimientos_app.accdb[Importe_Gasto],Tabla_Registro_de_movimientos_app.accdb[Sucursal],Sucursal_Semanal!Z$5,Tabla_Registro_de_movimientos_app.accdb[Detalle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A49" s="187" t="e">
        <f t="shared" si="70"/>
        <v>#DIV/0!</v>
      </c>
      <c r="AB49" s="115">
        <f>SUMIFS(Tabla_Registro_de_movimientos_app.accdb[Importe_Gasto],Tabla_Registro_de_movimientos_app.accdb[Sucursal],Sucursal_Semanal!AB$5,Tabla_Registro_de_movimientos_app.accdb[Detalle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C49" s="187" t="e">
        <f t="shared" si="71"/>
        <v>#DIV/0!</v>
      </c>
      <c r="AD49" s="115">
        <f>SUMIFS(Tabla_Registro_de_movimientos_app.accdb[Importe_Gasto],Tabla_Registro_de_movimientos_app.accdb[Sucursal],Sucursal_Semanal!AD$5,Tabla_Registro_de_movimientos_app.accdb[Detalle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E49" s="187" t="e">
        <f t="shared" si="72"/>
        <v>#DIV/0!</v>
      </c>
      <c r="AF49" s="115">
        <f>SUMIFS(Tabla_Registro_de_movimientos_app.accdb[Importe_Gasto],Tabla_Registro_de_movimientos_app.accdb[Sucursal],Sucursal_Semanal!AF$5,Tabla_Registro_de_movimientos_app.accdb[Detalle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G49" s="187" t="e">
        <f t="shared" si="73"/>
        <v>#DIV/0!</v>
      </c>
      <c r="AH49" s="115">
        <f>SUMIFS(Tabla_Registro_de_movimientos_app.accdb[Importe_Gasto],Tabla_Registro_de_movimientos_app.accdb[Sucursal],Sucursal_Semanal!AH$5,Tabla_Registro_de_movimientos_app.accdb[Detalle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I49" s="187" t="e">
        <f t="shared" si="74"/>
        <v>#DIV/0!</v>
      </c>
      <c r="AJ49">
        <f>SUMIFS(Tabla_Registro_de_movimientos_app.accdb[Importe_Gasto],Tabla_Registro_de_movimientos_app.accdb[Sucursal],Sucursal_Semanal!AJ$5,Tabla_Registro_de_movimientos_app.accdb[Detalle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K49" s="187" t="e">
        <f t="shared" si="75"/>
        <v>#DIV/0!</v>
      </c>
      <c r="AM49" s="188">
        <f t="shared" si="76"/>
        <v>0</v>
      </c>
      <c r="AN49" s="189" t="e">
        <f t="shared" si="77"/>
        <v>#DIV/0!</v>
      </c>
    </row>
    <row r="50" spans="1:40" x14ac:dyDescent="0.25">
      <c r="A50" t="s">
        <v>48</v>
      </c>
      <c r="B50">
        <f>SUMIFS(Tabla_Registro_de_movimientos_app.accdb[Importe_Gasto],Tabla_Registro_de_movimientos_app.accdb[Sucursal],Sucursal_Semanal!$B$5,Tabla_Registro_de_movimientos_app.accdb[Detalle de movimiento],Sucursal_Semanal!A50,Tabla_Registro_de_movimientos_app.accdb[Fecha],"&gt;"&amp;Sucursal_Semanal!$B$4,Tabla_Registro_de_movimientos_app.accdb[Fecha],"&lt;="&amp;Sucursal_Semanal!$C$4)</f>
        <v>0</v>
      </c>
      <c r="C50" s="187" t="e">
        <f t="shared" si="58"/>
        <v>#DIV/0!</v>
      </c>
      <c r="D50">
        <f>SUMIFS(Tabla_Registro_de_movimientos_app.accdb[Importe_Gasto],Tabla_Registro_de_movimientos_app.accdb[Sucursal],Sucursal_Semanal!D$5,Tabla_Registro_de_movimientos_app.accdb[Detalle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E50" s="187" t="e">
        <f t="shared" si="59"/>
        <v>#DIV/0!</v>
      </c>
      <c r="F50">
        <f>SUMIFS(Tabla_Registro_de_movimientos_app.accdb[Importe_Gasto],Tabla_Registro_de_movimientos_app.accdb[Sucursal],Sucursal_Semanal!F$5,Tabla_Registro_de_movimientos_app.accdb[Detalle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G50" s="187" t="e">
        <f t="shared" si="60"/>
        <v>#DIV/0!</v>
      </c>
      <c r="H50">
        <f>SUMIFS(Tabla_Registro_de_movimientos_app.accdb[Importe_Gasto],Tabla_Registro_de_movimientos_app.accdb[Sucursal],Sucursal_Semanal!H$5,Tabla_Registro_de_movimientos_app.accdb[Detalle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I50" s="187" t="e">
        <f t="shared" si="61"/>
        <v>#DIV/0!</v>
      </c>
      <c r="J50">
        <f>SUMIFS(Tabla_Registro_de_movimientos_app.accdb[Importe_Gasto],Tabla_Registro_de_movimientos_app.accdb[Sucursal],Sucursal_Semanal!J$5,Tabla_Registro_de_movimientos_app.accdb[Detalle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K50" s="187" t="e">
        <f t="shared" si="62"/>
        <v>#DIV/0!</v>
      </c>
      <c r="L50">
        <f>SUMIFS(Tabla_Registro_de_movimientos_app.accdb[Importe_Gasto],Tabla_Registro_de_movimientos_app.accdb[Sucursal],Sucursal_Semanal!L$5,Tabla_Registro_de_movimientos_app.accdb[Detalle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M50" s="187" t="e">
        <f t="shared" si="63"/>
        <v>#DIV/0!</v>
      </c>
      <c r="N50">
        <f>SUMIFS(Tabla_Registro_de_movimientos_app.accdb[Importe_Gasto],Tabla_Registro_de_movimientos_app.accdb[Sucursal],Sucursal_Semanal!N$5,Tabla_Registro_de_movimientos_app.accdb[Detalle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O50" s="187" t="e">
        <f t="shared" si="64"/>
        <v>#DIV/0!</v>
      </c>
      <c r="P50">
        <f>SUMIFS(Tabla_Registro_de_movimientos_app.accdb[Importe_Gasto],Tabla_Registro_de_movimientos_app.accdb[Sucursal],Sucursal_Semanal!P$5,Tabla_Registro_de_movimientos_app.accdb[Detalle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Q50" s="187" t="e">
        <f t="shared" si="65"/>
        <v>#DIV/0!</v>
      </c>
      <c r="R50" s="115">
        <f>SUMIFS(Tabla_Registro_de_movimientos_app.accdb[Importe_Gasto],Tabla_Registro_de_movimientos_app.accdb[Sucursal],Sucursal_Semanal!R$5,Tabla_Registro_de_movimientos_app.accdb[Detalle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S50" s="187" t="e">
        <f t="shared" si="66"/>
        <v>#DIV/0!</v>
      </c>
      <c r="T50" s="115">
        <f>SUMIFS(Tabla_Registro_de_movimientos_app.accdb[Importe_Gasto],Tabla_Registro_de_movimientos_app.accdb[Sucursal],Sucursal_Semanal!T$5,Tabla_Registro_de_movimientos_app.accdb[Detalle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U50" s="187" t="e">
        <f t="shared" si="67"/>
        <v>#DIV/0!</v>
      </c>
      <c r="V50">
        <f>SUMIFS(Tabla_Registro_de_movimientos_app.accdb[Importe_Gasto],Tabla_Registro_de_movimientos_app.accdb[Sucursal],Sucursal_Semanal!V$5,Tabla_Registro_de_movimientos_app.accdb[Detalle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W50" s="187" t="e">
        <f t="shared" si="68"/>
        <v>#DIV/0!</v>
      </c>
      <c r="X50" s="115">
        <f>SUMIFS(Tabla_Registro_de_movimientos_app.accdb[Importe_Gasto],Tabla_Registro_de_movimientos_app.accdb[Sucursal],Sucursal_Semanal!X$5,Tabla_Registro_de_movimientos_app.accdb[Detalle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Y50" s="187" t="e">
        <f t="shared" si="69"/>
        <v>#DIV/0!</v>
      </c>
      <c r="Z50" s="115">
        <f>SUMIFS(Tabla_Registro_de_movimientos_app.accdb[Importe_Gasto],Tabla_Registro_de_movimientos_app.accdb[Sucursal],Sucursal_Semanal!Z$5,Tabla_Registro_de_movimientos_app.accdb[Detalle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A50" s="187" t="e">
        <f t="shared" si="70"/>
        <v>#DIV/0!</v>
      </c>
      <c r="AB50" s="115">
        <f>SUMIFS(Tabla_Registro_de_movimientos_app.accdb[Importe_Gasto],Tabla_Registro_de_movimientos_app.accdb[Sucursal],Sucursal_Semanal!AB$5,Tabla_Registro_de_movimientos_app.accdb[Detalle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C50" s="187" t="e">
        <f t="shared" si="71"/>
        <v>#DIV/0!</v>
      </c>
      <c r="AD50" s="115">
        <f>SUMIFS(Tabla_Registro_de_movimientos_app.accdb[Importe_Gasto],Tabla_Registro_de_movimientos_app.accdb[Sucursal],Sucursal_Semanal!AD$5,Tabla_Registro_de_movimientos_app.accdb[Detalle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E50" s="187" t="e">
        <f t="shared" si="72"/>
        <v>#DIV/0!</v>
      </c>
      <c r="AF50" s="115">
        <f>SUMIFS(Tabla_Registro_de_movimientos_app.accdb[Importe_Gasto],Tabla_Registro_de_movimientos_app.accdb[Sucursal],Sucursal_Semanal!AF$5,Tabla_Registro_de_movimientos_app.accdb[Detalle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G50" s="187" t="e">
        <f t="shared" si="73"/>
        <v>#DIV/0!</v>
      </c>
      <c r="AH50" s="115">
        <f>SUMIFS(Tabla_Registro_de_movimientos_app.accdb[Importe_Gasto],Tabla_Registro_de_movimientos_app.accdb[Sucursal],Sucursal_Semanal!AH$5,Tabla_Registro_de_movimientos_app.accdb[Detalle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I50" s="187" t="e">
        <f t="shared" si="74"/>
        <v>#DIV/0!</v>
      </c>
      <c r="AJ50">
        <f>SUMIFS(Tabla_Registro_de_movimientos_app.accdb[Importe_Gasto],Tabla_Registro_de_movimientos_app.accdb[Sucursal],Sucursal_Semanal!AJ$5,Tabla_Registro_de_movimientos_app.accdb[Detalle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K50" s="187" t="e">
        <f t="shared" si="75"/>
        <v>#DIV/0!</v>
      </c>
      <c r="AM50" s="188">
        <f t="shared" si="76"/>
        <v>0</v>
      </c>
      <c r="AN50" s="189" t="e">
        <f t="shared" si="77"/>
        <v>#DIV/0!</v>
      </c>
    </row>
    <row r="51" spans="1:40" x14ac:dyDescent="0.25">
      <c r="A51" t="s">
        <v>49</v>
      </c>
      <c r="B51">
        <f>SUMIFS(Tabla_Registro_de_movimientos_app.accdb[Importe_Gasto],Tabla_Registro_de_movimientos_app.accdb[Sucursal],Sucursal_Semanal!$B$5,Tabla_Registro_de_movimientos_app.accdb[Detalle de movimiento],Sucursal_Semanal!A51,Tabla_Registro_de_movimientos_app.accdb[Fecha],"&gt;"&amp;Sucursal_Semanal!$B$4,Tabla_Registro_de_movimientos_app.accdb[Fecha],"&lt;="&amp;Sucursal_Semanal!$C$4)</f>
        <v>0</v>
      </c>
      <c r="C51" s="187" t="e">
        <f t="shared" si="58"/>
        <v>#DIV/0!</v>
      </c>
      <c r="D51">
        <f>SUMIFS(Tabla_Registro_de_movimientos_app.accdb[Importe_Gasto],Tabla_Registro_de_movimientos_app.accdb[Sucursal],Sucursal_Semanal!D$5,Tabla_Registro_de_movimientos_app.accdb[Detalle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E51" s="187" t="e">
        <f t="shared" si="59"/>
        <v>#DIV/0!</v>
      </c>
      <c r="F51">
        <f>SUMIFS(Tabla_Registro_de_movimientos_app.accdb[Importe_Gasto],Tabla_Registro_de_movimientos_app.accdb[Sucursal],Sucursal_Semanal!F$5,Tabla_Registro_de_movimientos_app.accdb[Detalle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G51" s="187" t="e">
        <f t="shared" si="60"/>
        <v>#DIV/0!</v>
      </c>
      <c r="H51">
        <f>SUMIFS(Tabla_Registro_de_movimientos_app.accdb[Importe_Gasto],Tabla_Registro_de_movimientos_app.accdb[Sucursal],Sucursal_Semanal!H$5,Tabla_Registro_de_movimientos_app.accdb[Detalle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I51" s="187" t="e">
        <f t="shared" si="61"/>
        <v>#DIV/0!</v>
      </c>
      <c r="J51">
        <f>SUMIFS(Tabla_Registro_de_movimientos_app.accdb[Importe_Gasto],Tabla_Registro_de_movimientos_app.accdb[Sucursal],Sucursal_Semanal!J$5,Tabla_Registro_de_movimientos_app.accdb[Detalle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K51" s="187" t="e">
        <f t="shared" si="62"/>
        <v>#DIV/0!</v>
      </c>
      <c r="L51">
        <f>SUMIFS(Tabla_Registro_de_movimientos_app.accdb[Importe_Gasto],Tabla_Registro_de_movimientos_app.accdb[Sucursal],Sucursal_Semanal!L$5,Tabla_Registro_de_movimientos_app.accdb[Detalle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M51" s="187" t="e">
        <f t="shared" si="63"/>
        <v>#DIV/0!</v>
      </c>
      <c r="N51">
        <f>SUMIFS(Tabla_Registro_de_movimientos_app.accdb[Importe_Gasto],Tabla_Registro_de_movimientos_app.accdb[Sucursal],Sucursal_Semanal!N$5,Tabla_Registro_de_movimientos_app.accdb[Detalle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O51" s="187" t="e">
        <f t="shared" si="64"/>
        <v>#DIV/0!</v>
      </c>
      <c r="P51">
        <f>SUMIFS(Tabla_Registro_de_movimientos_app.accdb[Importe_Gasto],Tabla_Registro_de_movimientos_app.accdb[Sucursal],Sucursal_Semanal!P$5,Tabla_Registro_de_movimientos_app.accdb[Detalle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Q51" s="187" t="e">
        <f t="shared" si="65"/>
        <v>#DIV/0!</v>
      </c>
      <c r="R51" s="115">
        <f>SUMIFS(Tabla_Registro_de_movimientos_app.accdb[Importe_Gasto],Tabla_Registro_de_movimientos_app.accdb[Sucursal],Sucursal_Semanal!R$5,Tabla_Registro_de_movimientos_app.accdb[Detalle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S51" s="187" t="e">
        <f t="shared" si="66"/>
        <v>#DIV/0!</v>
      </c>
      <c r="T51" s="115">
        <f>SUMIFS(Tabla_Registro_de_movimientos_app.accdb[Importe_Gasto],Tabla_Registro_de_movimientos_app.accdb[Sucursal],Sucursal_Semanal!T$5,Tabla_Registro_de_movimientos_app.accdb[Detalle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U51" s="187" t="e">
        <f t="shared" si="67"/>
        <v>#DIV/0!</v>
      </c>
      <c r="V51">
        <f>SUMIFS(Tabla_Registro_de_movimientos_app.accdb[Importe_Gasto],Tabla_Registro_de_movimientos_app.accdb[Sucursal],Sucursal_Semanal!V$5,Tabla_Registro_de_movimientos_app.accdb[Detalle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W51" s="187" t="e">
        <f t="shared" si="68"/>
        <v>#DIV/0!</v>
      </c>
      <c r="X51" s="115">
        <f>SUMIFS(Tabla_Registro_de_movimientos_app.accdb[Importe_Gasto],Tabla_Registro_de_movimientos_app.accdb[Sucursal],Sucursal_Semanal!X$5,Tabla_Registro_de_movimientos_app.accdb[Detalle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Y51" s="187" t="e">
        <f t="shared" si="69"/>
        <v>#DIV/0!</v>
      </c>
      <c r="Z51" s="115">
        <f>SUMIFS(Tabla_Registro_de_movimientos_app.accdb[Importe_Gasto],Tabla_Registro_de_movimientos_app.accdb[Sucursal],Sucursal_Semanal!Z$5,Tabla_Registro_de_movimientos_app.accdb[Detalle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A51" s="187" t="e">
        <f t="shared" si="70"/>
        <v>#DIV/0!</v>
      </c>
      <c r="AB51" s="115">
        <f>SUMIFS(Tabla_Registro_de_movimientos_app.accdb[Importe_Gasto],Tabla_Registro_de_movimientos_app.accdb[Sucursal],Sucursal_Semanal!AB$5,Tabla_Registro_de_movimientos_app.accdb[Detalle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C51" s="187" t="e">
        <f t="shared" si="71"/>
        <v>#DIV/0!</v>
      </c>
      <c r="AD51" s="115">
        <f>SUMIFS(Tabla_Registro_de_movimientos_app.accdb[Importe_Gasto],Tabla_Registro_de_movimientos_app.accdb[Sucursal],Sucursal_Semanal!AD$5,Tabla_Registro_de_movimientos_app.accdb[Detalle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E51" s="187" t="e">
        <f t="shared" si="72"/>
        <v>#DIV/0!</v>
      </c>
      <c r="AF51" s="115">
        <f>SUMIFS(Tabla_Registro_de_movimientos_app.accdb[Importe_Gasto],Tabla_Registro_de_movimientos_app.accdb[Sucursal],Sucursal_Semanal!AF$5,Tabla_Registro_de_movimientos_app.accdb[Detalle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G51" s="187" t="e">
        <f t="shared" si="73"/>
        <v>#DIV/0!</v>
      </c>
      <c r="AH51" s="115">
        <f>SUMIFS(Tabla_Registro_de_movimientos_app.accdb[Importe_Gasto],Tabla_Registro_de_movimientos_app.accdb[Sucursal],Sucursal_Semanal!AH$5,Tabla_Registro_de_movimientos_app.accdb[Detalle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I51" s="187" t="e">
        <f t="shared" si="74"/>
        <v>#DIV/0!</v>
      </c>
      <c r="AJ51">
        <f>SUMIFS(Tabla_Registro_de_movimientos_app.accdb[Importe_Gasto],Tabla_Registro_de_movimientos_app.accdb[Sucursal],Sucursal_Semanal!AJ$5,Tabla_Registro_de_movimientos_app.accdb[Detalle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K51" s="187" t="e">
        <f t="shared" si="75"/>
        <v>#DIV/0!</v>
      </c>
      <c r="AM51" s="188">
        <f t="shared" si="76"/>
        <v>0</v>
      </c>
      <c r="AN51" s="189" t="e">
        <f t="shared" si="77"/>
        <v>#DIV/0!</v>
      </c>
    </row>
    <row r="52" spans="1:40" x14ac:dyDescent="0.25">
      <c r="A52" t="s">
        <v>50</v>
      </c>
      <c r="B52">
        <f>SUMIFS(Tabla_Registro_de_movimientos_app.accdb[Importe_Gasto],Tabla_Registro_de_movimientos_app.accdb[Sucursal],Sucursal_Semanal!$B$5,Tabla_Registro_de_movimientos_app.accdb[Detalle de movimiento],Sucursal_Semanal!A52,Tabla_Registro_de_movimientos_app.accdb[Fecha],"&gt;"&amp;Sucursal_Semanal!$B$4,Tabla_Registro_de_movimientos_app.accdb[Fecha],"&lt;="&amp;Sucursal_Semanal!$C$4)</f>
        <v>0</v>
      </c>
      <c r="C52" s="187" t="e">
        <f t="shared" si="58"/>
        <v>#DIV/0!</v>
      </c>
      <c r="D52">
        <f>SUMIFS(Tabla_Registro_de_movimientos_app.accdb[Importe_Gasto],Tabla_Registro_de_movimientos_app.accdb[Sucursal],Sucursal_Semanal!D$5,Tabla_Registro_de_movimientos_app.accdb[Detalle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E52" s="187" t="e">
        <f t="shared" si="59"/>
        <v>#DIV/0!</v>
      </c>
      <c r="F52">
        <f>SUMIFS(Tabla_Registro_de_movimientos_app.accdb[Importe_Gasto],Tabla_Registro_de_movimientos_app.accdb[Sucursal],Sucursal_Semanal!F$5,Tabla_Registro_de_movimientos_app.accdb[Detalle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G52" s="187" t="e">
        <f t="shared" si="60"/>
        <v>#DIV/0!</v>
      </c>
      <c r="H52" s="115">
        <f>SUMIFS(Tabla_Registro_de_movimientos_app.accdb[Importe_Gasto],Tabla_Registro_de_movimientos_app.accdb[Sucursal],Sucursal_Semanal!H$5,Tabla_Registro_de_movimientos_app.accdb[Detalle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I52" s="187" t="e">
        <f t="shared" si="61"/>
        <v>#DIV/0!</v>
      </c>
      <c r="J52">
        <f>SUMIFS(Tabla_Registro_de_movimientos_app.accdb[Importe_Gasto],Tabla_Registro_de_movimientos_app.accdb[Sucursal],Sucursal_Semanal!J$5,Tabla_Registro_de_movimientos_app.accdb[Detalle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K52" s="187" t="e">
        <f t="shared" si="62"/>
        <v>#DIV/0!</v>
      </c>
      <c r="L52">
        <f>SUMIFS(Tabla_Registro_de_movimientos_app.accdb[Importe_Gasto],Tabla_Registro_de_movimientos_app.accdb[Sucursal],Sucursal_Semanal!L$5,Tabla_Registro_de_movimientos_app.accdb[Detalle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M52" s="187" t="e">
        <f t="shared" si="63"/>
        <v>#DIV/0!</v>
      </c>
      <c r="N52">
        <f>SUMIFS(Tabla_Registro_de_movimientos_app.accdb[Importe_Gasto],Tabla_Registro_de_movimientos_app.accdb[Sucursal],Sucursal_Semanal!N$5,Tabla_Registro_de_movimientos_app.accdb[Detalle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O52" s="187" t="e">
        <f t="shared" si="64"/>
        <v>#DIV/0!</v>
      </c>
      <c r="P52">
        <f>SUMIFS(Tabla_Registro_de_movimientos_app.accdb[Importe_Gasto],Tabla_Registro_de_movimientos_app.accdb[Sucursal],Sucursal_Semanal!P$5,Tabla_Registro_de_movimientos_app.accdb[Detalle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Q52" s="187" t="e">
        <f t="shared" si="65"/>
        <v>#DIV/0!</v>
      </c>
      <c r="R52" s="115">
        <f>SUMIFS(Tabla_Registro_de_movimientos_app.accdb[Importe_Gasto],Tabla_Registro_de_movimientos_app.accdb[Sucursal],Sucursal_Semanal!R$5,Tabla_Registro_de_movimientos_app.accdb[Detalle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S52" s="187" t="e">
        <f t="shared" si="66"/>
        <v>#DIV/0!</v>
      </c>
      <c r="T52">
        <f>SUMIFS(Tabla_Registro_de_movimientos_app.accdb[Importe_Gasto],Tabla_Registro_de_movimientos_app.accdb[Sucursal],Sucursal_Semanal!T$5,Tabla_Registro_de_movimientos_app.accdb[Detalle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U52" s="187" t="e">
        <f t="shared" si="67"/>
        <v>#DIV/0!</v>
      </c>
      <c r="V52">
        <f>SUMIFS(Tabla_Registro_de_movimientos_app.accdb[Importe_Gasto],Tabla_Registro_de_movimientos_app.accdb[Sucursal],Sucursal_Semanal!V$5,Tabla_Registro_de_movimientos_app.accdb[Detalle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W52" s="187" t="e">
        <f t="shared" si="68"/>
        <v>#DIV/0!</v>
      </c>
      <c r="X52" s="115">
        <f>SUMIFS(Tabla_Registro_de_movimientos_app.accdb[Importe_Gasto],Tabla_Registro_de_movimientos_app.accdb[Sucursal],Sucursal_Semanal!X$5,Tabla_Registro_de_movimientos_app.accdb[Detalle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Y52" s="187" t="e">
        <f t="shared" si="69"/>
        <v>#DIV/0!</v>
      </c>
      <c r="Z52" s="115">
        <f>SUMIFS(Tabla_Registro_de_movimientos_app.accdb[Importe_Gasto],Tabla_Registro_de_movimientos_app.accdb[Sucursal],Sucursal_Semanal!Z$5,Tabla_Registro_de_movimientos_app.accdb[Detalle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A52" s="187" t="e">
        <f t="shared" si="70"/>
        <v>#DIV/0!</v>
      </c>
      <c r="AB52" s="115">
        <f>SUMIFS(Tabla_Registro_de_movimientos_app.accdb[Importe_Gasto],Tabla_Registro_de_movimientos_app.accdb[Sucursal],Sucursal_Semanal!AB$5,Tabla_Registro_de_movimientos_app.accdb[Detalle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C52" s="187" t="e">
        <f t="shared" si="71"/>
        <v>#DIV/0!</v>
      </c>
      <c r="AD52" s="115">
        <f>SUMIFS(Tabla_Registro_de_movimientos_app.accdb[Importe_Gasto],Tabla_Registro_de_movimientos_app.accdb[Sucursal],Sucursal_Semanal!AD$5,Tabla_Registro_de_movimientos_app.accdb[Detalle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E52" s="187" t="e">
        <f t="shared" si="72"/>
        <v>#DIV/0!</v>
      </c>
      <c r="AF52" s="115">
        <f>SUMIFS(Tabla_Registro_de_movimientos_app.accdb[Importe_Gasto],Tabla_Registro_de_movimientos_app.accdb[Sucursal],Sucursal_Semanal!AF$5,Tabla_Registro_de_movimientos_app.accdb[Detalle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G52" s="187" t="e">
        <f t="shared" si="73"/>
        <v>#DIV/0!</v>
      </c>
      <c r="AH52" s="115">
        <f>SUMIFS(Tabla_Registro_de_movimientos_app.accdb[Importe_Gasto],Tabla_Registro_de_movimientos_app.accdb[Sucursal],Sucursal_Semanal!AH$5,Tabla_Registro_de_movimientos_app.accdb[Detalle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I52" s="187" t="e">
        <f t="shared" si="74"/>
        <v>#DIV/0!</v>
      </c>
      <c r="AJ52">
        <f>SUMIFS(Tabla_Registro_de_movimientos_app.accdb[Importe_Gasto],Tabla_Registro_de_movimientos_app.accdb[Sucursal],Sucursal_Semanal!AJ$5,Tabla_Registro_de_movimientos_app.accdb[Detalle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K52" s="187" t="e">
        <f t="shared" si="75"/>
        <v>#DIV/0!</v>
      </c>
      <c r="AM52" s="188">
        <f t="shared" si="76"/>
        <v>0</v>
      </c>
      <c r="AN52" s="189" t="e">
        <f t="shared" si="77"/>
        <v>#DIV/0!</v>
      </c>
    </row>
    <row r="53" spans="1:40" ht="15.75" thickBot="1" x14ac:dyDescent="0.3">
      <c r="A53" s="8" t="s">
        <v>51</v>
      </c>
      <c r="B53" s="208">
        <f t="shared" ref="B53:G53" si="78">SUM(B36:B52)</f>
        <v>0</v>
      </c>
      <c r="C53" s="191" t="e">
        <f>+B53/B13</f>
        <v>#DIV/0!</v>
      </c>
      <c r="D53" s="208">
        <f t="shared" si="78"/>
        <v>0</v>
      </c>
      <c r="E53" s="191" t="e">
        <f t="shared" si="78"/>
        <v>#DIV/0!</v>
      </c>
      <c r="F53" s="208">
        <f t="shared" si="78"/>
        <v>0</v>
      </c>
      <c r="G53" s="191" t="e">
        <f t="shared" si="78"/>
        <v>#DIV/0!</v>
      </c>
      <c r="H53" s="208">
        <f t="shared" ref="H53:K53" si="79">SUM(H36:H52)</f>
        <v>0</v>
      </c>
      <c r="I53" s="191" t="e">
        <f t="shared" si="79"/>
        <v>#DIV/0!</v>
      </c>
      <c r="J53" s="190">
        <f t="shared" si="79"/>
        <v>0</v>
      </c>
      <c r="K53" s="191" t="e">
        <f t="shared" si="79"/>
        <v>#DIV/0!</v>
      </c>
      <c r="L53" s="190">
        <f>SUM(L36:L52)</f>
        <v>0</v>
      </c>
      <c r="M53" s="191" t="e">
        <f t="shared" ref="M53:AK53" si="80">SUM(M36:M52)</f>
        <v>#DIV/0!</v>
      </c>
      <c r="N53" s="190">
        <f t="shared" si="80"/>
        <v>0</v>
      </c>
      <c r="O53" s="191" t="e">
        <f t="shared" si="80"/>
        <v>#DIV/0!</v>
      </c>
      <c r="P53" s="190">
        <f t="shared" si="80"/>
        <v>0</v>
      </c>
      <c r="Q53" s="191" t="e">
        <f t="shared" si="80"/>
        <v>#DIV/0!</v>
      </c>
      <c r="R53" s="190">
        <f t="shared" si="80"/>
        <v>0</v>
      </c>
      <c r="S53" s="191" t="e">
        <f t="shared" si="80"/>
        <v>#DIV/0!</v>
      </c>
      <c r="T53" s="190">
        <f t="shared" si="80"/>
        <v>0</v>
      </c>
      <c r="U53" s="191" t="e">
        <f t="shared" si="80"/>
        <v>#DIV/0!</v>
      </c>
      <c r="V53" s="190">
        <f t="shared" si="80"/>
        <v>0</v>
      </c>
      <c r="W53" s="191" t="e">
        <f t="shared" si="80"/>
        <v>#DIV/0!</v>
      </c>
      <c r="X53" s="190">
        <f t="shared" si="80"/>
        <v>0</v>
      </c>
      <c r="Y53" s="191" t="e">
        <f t="shared" si="80"/>
        <v>#DIV/0!</v>
      </c>
      <c r="Z53" s="190">
        <f t="shared" si="80"/>
        <v>0</v>
      </c>
      <c r="AA53" s="191" t="e">
        <f t="shared" si="80"/>
        <v>#DIV/0!</v>
      </c>
      <c r="AB53" s="190">
        <f t="shared" si="80"/>
        <v>0</v>
      </c>
      <c r="AC53" s="191" t="e">
        <f t="shared" si="80"/>
        <v>#DIV/0!</v>
      </c>
      <c r="AD53" s="190">
        <f t="shared" si="80"/>
        <v>0</v>
      </c>
      <c r="AE53" s="191" t="e">
        <f t="shared" si="80"/>
        <v>#DIV/0!</v>
      </c>
      <c r="AF53" s="190">
        <f t="shared" si="80"/>
        <v>0</v>
      </c>
      <c r="AG53" s="191" t="e">
        <f t="shared" si="80"/>
        <v>#DIV/0!</v>
      </c>
      <c r="AH53" s="190">
        <f t="shared" si="80"/>
        <v>0</v>
      </c>
      <c r="AI53" s="191" t="e">
        <f t="shared" si="80"/>
        <v>#DIV/0!</v>
      </c>
      <c r="AJ53" s="190">
        <f t="shared" si="80"/>
        <v>0</v>
      </c>
      <c r="AK53" s="191" t="e">
        <f t="shared" si="80"/>
        <v>#DIV/0!</v>
      </c>
      <c r="AM53" s="201">
        <f>SUM(AM36:AM52)</f>
        <v>0</v>
      </c>
      <c r="AN53" s="197" t="e">
        <f>AM53/AM13</f>
        <v>#DIV/0!</v>
      </c>
    </row>
    <row r="54" spans="1:40" ht="15.75" thickTop="1" x14ac:dyDescent="0.25"/>
    <row r="55" spans="1:40" x14ac:dyDescent="0.25">
      <c r="A55" s="202" t="s">
        <v>62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40" x14ac:dyDescent="0.25">
      <c r="A56" t="s">
        <v>85</v>
      </c>
      <c r="B56" s="115">
        <f>SUMIFS(Tabla_Registro_de_movimientos_app.accdb[Importe_Gasto],Tabla_Registro_de_movimientos_app.accdb[Sucursal],Sucursal_Semanal!$B$5,Tabla_Registro_de_movimientos_app.accdb[Detalle de movimiento],Sucursal_Semanal!A56,Tabla_Registro_de_movimientos_app.accdb[Fecha],"&gt;"&amp;Sucursal_Semanal!$B$4,Tabla_Registro_de_movimientos_app.accdb[Fecha],"&lt;="&amp;Sucursal_Semanal!$C$4)</f>
        <v>0</v>
      </c>
      <c r="C56" s="194" t="e">
        <f>B56/$B$69</f>
        <v>#DIV/0!</v>
      </c>
      <c r="D56" s="115">
        <f>SUMIFS(Tabla_Registro_de_movimientos_app.accdb[Importe_Gasto],Tabla_Registro_de_movimientos_app.accdb[Sucursal],Sucursal_Semanal!D$5,Tabla_Registro_de_movimientos_app.accdb[Detalle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E56" s="187" t="e">
        <f>D56/D$69</f>
        <v>#DIV/0!</v>
      </c>
      <c r="F56" s="115">
        <f>SUMIFS(Tabla_Registro_de_movimientos_app.accdb[Importe_Gasto],Tabla_Registro_de_movimientos_app.accdb[Sucursal],Sucursal_Semanal!F$5,Tabla_Registro_de_movimientos_app.accdb[Detalle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G56" s="187" t="e">
        <f>F56/F$69</f>
        <v>#DIV/0!</v>
      </c>
      <c r="H56" s="115">
        <f>SUMIFS(Tabla_Registro_de_movimientos_app.accdb[Importe_Gasto],Tabla_Registro_de_movimientos_app.accdb[Sucursal],Sucursal_Semanal!H$5,Tabla_Registro_de_movimientos_app.accdb[Detalle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I56" s="187" t="e">
        <f>H56/H$69</f>
        <v>#DIV/0!</v>
      </c>
      <c r="J56">
        <f>SUMIFS(Tabla_Registro_de_movimientos_app.accdb[Importe_Gasto],Tabla_Registro_de_movimientos_app.accdb[Sucursal],Sucursal_Semanal!J$5,Tabla_Registro_de_movimientos_app.accdb[Detalle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K56" s="187" t="e">
        <f>J56/J$69</f>
        <v>#DIV/0!</v>
      </c>
      <c r="L56" s="115">
        <f>SUMIFS(Tabla_Registro_de_movimientos_app.accdb[Importe_Gasto],Tabla_Registro_de_movimientos_app.accdb[Sucursal],Sucursal_Semanal!L$5,Tabla_Registro_de_movimientos_app.accdb[Detalle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M56" s="187" t="e">
        <f>L56/L$69</f>
        <v>#DIV/0!</v>
      </c>
      <c r="N56" s="115">
        <f>SUMIFS(Tabla_Registro_de_movimientos_app.accdb[Importe_Gasto],Tabla_Registro_de_movimientos_app.accdb[Sucursal],Sucursal_Semanal!N$5,Tabla_Registro_de_movimientos_app.accdb[Detalle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O56" s="187" t="e">
        <f>N56/N$69</f>
        <v>#DIV/0!</v>
      </c>
      <c r="P56" s="115">
        <f>SUMIFS(Tabla_Registro_de_movimientos_app.accdb[Importe_Gasto],Tabla_Registro_de_movimientos_app.accdb[Sucursal],Sucursal_Semanal!P$5,Tabla_Registro_de_movimientos_app.accdb[Detalle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Q56" s="187" t="e">
        <f>P56/P$69</f>
        <v>#DIV/0!</v>
      </c>
      <c r="R56" s="115">
        <f>SUMIFS(Tabla_Registro_de_movimientos_app.accdb[Importe_Gasto],Tabla_Registro_de_movimientos_app.accdb[Sucursal],Sucursal_Semanal!R$5,Tabla_Registro_de_movimientos_app.accdb[Detalle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S56" s="187" t="e">
        <f>R56/R$69</f>
        <v>#DIV/0!</v>
      </c>
      <c r="T56" s="115">
        <f>SUMIFS(Tabla_Registro_de_movimientos_app.accdb[Importe_Gasto],Tabla_Registro_de_movimientos_app.accdb[Sucursal],Sucursal_Semanal!T$5,Tabla_Registro_de_movimientos_app.accdb[Detalle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U56" s="187" t="e">
        <f>T56/T$69</f>
        <v>#DIV/0!</v>
      </c>
      <c r="V56">
        <f>SUMIFS(Tabla_Registro_de_movimientos_app.accdb[Importe_Gasto],Tabla_Registro_de_movimientos_app.accdb[Sucursal],Sucursal_Semanal!V$5,Tabla_Registro_de_movimientos_app.accdb[Detalle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W56" s="187" t="e">
        <f>V56/V$69</f>
        <v>#DIV/0!</v>
      </c>
      <c r="X56" s="115">
        <f>SUMIFS(Tabla_Registro_de_movimientos_app.accdb[Importe_Gasto],Tabla_Registro_de_movimientos_app.accdb[Sucursal],Sucursal_Semanal!X$5,Tabla_Registro_de_movimientos_app.accdb[Detalle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Y56" s="187" t="e">
        <f>X56/X$69</f>
        <v>#DIV/0!</v>
      </c>
      <c r="Z56" s="115">
        <f>SUMIFS(Tabla_Registro_de_movimientos_app.accdb[Importe_Gasto],Tabla_Registro_de_movimientos_app.accdb[Sucursal],Sucursal_Semanal!Z$5,Tabla_Registro_de_movimientos_app.accdb[Detalle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A56" s="187" t="e">
        <f>Z56/Z$69</f>
        <v>#DIV/0!</v>
      </c>
      <c r="AB56">
        <f>SUMIFS(Tabla_Registro_de_movimientos_app.accdb[Importe_Gasto],Tabla_Registro_de_movimientos_app.accdb[Sucursal],Sucursal_Semanal!AB$5,Tabla_Registro_de_movimientos_app.accdb[Detalle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C56" s="187" t="e">
        <f>AB56/AB$69</f>
        <v>#DIV/0!</v>
      </c>
      <c r="AD56" s="115">
        <f>SUMIFS(Tabla_Registro_de_movimientos_app.accdb[Importe_Gasto],Tabla_Registro_de_movimientos_app.accdb[Sucursal],Sucursal_Semanal!AD$5,Tabla_Registro_de_movimientos_app.accdb[Detalle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E56" s="187" t="e">
        <f>AD56/AD$69</f>
        <v>#DIV/0!</v>
      </c>
      <c r="AF56" s="115">
        <f>SUMIFS(Tabla_Registro_de_movimientos_app.accdb[Importe_Gasto],Tabla_Registro_de_movimientos_app.accdb[Sucursal],Sucursal_Semanal!AF$5,Tabla_Registro_de_movimientos_app.accdb[Detalle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G56" s="187" t="e">
        <f>AF56/AF$69</f>
        <v>#DIV/0!</v>
      </c>
      <c r="AH56">
        <f>SUMIFS(Tabla_Registro_de_movimientos_app.accdb[Importe_Gasto],Tabla_Registro_de_movimientos_app.accdb[Sucursal],Sucursal_Semanal!AH$5,Tabla_Registro_de_movimientos_app.accdb[Detalle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I56" s="187" t="e">
        <f>AH56/AH$69</f>
        <v>#DIV/0!</v>
      </c>
      <c r="AJ56">
        <f>SUMIFS(Tabla_Registro_de_movimientos_app.accdb[Importe_Gasto],Tabla_Registro_de_movimientos_app.accdb[Sucursal],Sucursal_Semanal!AJ$5,Tabla_Registro_de_movimientos_app.accdb[Detalle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K56" s="187" t="e">
        <f>AJ56/AJ$69</f>
        <v>#DIV/0!</v>
      </c>
      <c r="AM56" s="188">
        <f>SUM(B56,D56,F56,H56,J56,L56,N56,P56,R56,T56,V56,X56,Z56,AB56,AD56,AF56,AH56,AJ56)</f>
        <v>0</v>
      </c>
      <c r="AN56" s="189" t="e">
        <f>AM56/$AM$69</f>
        <v>#DIV/0!</v>
      </c>
    </row>
    <row r="57" spans="1:40" x14ac:dyDescent="0.25">
      <c r="A57" t="s">
        <v>63</v>
      </c>
      <c r="B57" s="115">
        <f>SUMIFS(Tabla_Registro_de_movimientos_app.accdb[Importe_Gasto],Tabla_Registro_de_movimientos_app.accdb[Sucursal],Sucursal_Semanal!$B$5,Tabla_Registro_de_movimientos_app.accdb[Detalle de movimiento],Sucursal_Semanal!A57,Tabla_Registro_de_movimientos_app.accdb[Fecha],"&gt;"&amp;Sucursal_Semanal!$B$4,Tabla_Registro_de_movimientos_app.accdb[Fecha],"&lt;="&amp;Sucursal_Semanal!$C$4)</f>
        <v>0</v>
      </c>
      <c r="C57" s="194" t="e">
        <f t="shared" ref="C57:C68" si="81">B57/$B$69</f>
        <v>#DIV/0!</v>
      </c>
      <c r="D57" s="115">
        <f>SUMIFS(Tabla_Registro_de_movimientos_app.accdb[Importe_Gasto],Tabla_Registro_de_movimientos_app.accdb[Sucursal],Sucursal_Semanal!D$5,Tabla_Registro_de_movimientos_app.accdb[Detalle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E57" s="187" t="e">
        <f t="shared" ref="E57:E68" si="82">D57/D$69</f>
        <v>#DIV/0!</v>
      </c>
      <c r="F57" s="115">
        <f>SUMIFS(Tabla_Registro_de_movimientos_app.accdb[Importe_Gasto],Tabla_Registro_de_movimientos_app.accdb[Sucursal],Sucursal_Semanal!F$5,Tabla_Registro_de_movimientos_app.accdb[Detalle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G57" s="187" t="e">
        <f t="shared" ref="G57:G68" si="83">F57/F$69</f>
        <v>#DIV/0!</v>
      </c>
      <c r="H57" s="115">
        <f>SUMIFS(Tabla_Registro_de_movimientos_app.accdb[Importe_Gasto],Tabla_Registro_de_movimientos_app.accdb[Sucursal],Sucursal_Semanal!H$5,Tabla_Registro_de_movimientos_app.accdb[Detalle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I57" s="187" t="e">
        <f t="shared" ref="I57:I68" si="84">H57/H$69</f>
        <v>#DIV/0!</v>
      </c>
      <c r="J57">
        <f>SUMIFS(Tabla_Registro_de_movimientos_app.accdb[Importe_Gasto],Tabla_Registro_de_movimientos_app.accdb[Sucursal],Sucursal_Semanal!J$5,Tabla_Registro_de_movimientos_app.accdb[Detalle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K57" s="187" t="e">
        <f t="shared" ref="K57:K68" si="85">J57/J$69</f>
        <v>#DIV/0!</v>
      </c>
      <c r="L57" s="115">
        <f>SUMIFS(Tabla_Registro_de_movimientos_app.accdb[Importe_Gasto],Tabla_Registro_de_movimientos_app.accdb[Sucursal],Sucursal_Semanal!L$5,Tabla_Registro_de_movimientos_app.accdb[Detalle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M57" s="187" t="e">
        <f t="shared" ref="M57:M68" si="86">L57/L$69</f>
        <v>#DIV/0!</v>
      </c>
      <c r="N57" s="115">
        <f>SUMIFS(Tabla_Registro_de_movimientos_app.accdb[Importe_Gasto],Tabla_Registro_de_movimientos_app.accdb[Sucursal],Sucursal_Semanal!N$5,Tabla_Registro_de_movimientos_app.accdb[Detalle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O57" s="187" t="e">
        <f t="shared" ref="O57:O68" si="87">N57/N$69</f>
        <v>#DIV/0!</v>
      </c>
      <c r="P57" s="115">
        <f>SUMIFS(Tabla_Registro_de_movimientos_app.accdb[Importe_Gasto],Tabla_Registro_de_movimientos_app.accdb[Sucursal],Sucursal_Semanal!P$5,Tabla_Registro_de_movimientos_app.accdb[Detalle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Q57" s="187" t="e">
        <f t="shared" ref="Q57:Q68" si="88">P57/P$69</f>
        <v>#DIV/0!</v>
      </c>
      <c r="R57" s="115">
        <f>SUMIFS(Tabla_Registro_de_movimientos_app.accdb[Importe_Gasto],Tabla_Registro_de_movimientos_app.accdb[Sucursal],Sucursal_Semanal!R$5,Tabla_Registro_de_movimientos_app.accdb[Detalle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S57" s="187" t="e">
        <f t="shared" ref="S57:S68" si="89">R57/R$69</f>
        <v>#DIV/0!</v>
      </c>
      <c r="T57" s="115">
        <f>SUMIFS(Tabla_Registro_de_movimientos_app.accdb[Importe_Gasto],Tabla_Registro_de_movimientos_app.accdb[Sucursal],Sucursal_Semanal!T$5,Tabla_Registro_de_movimientos_app.accdb[Detalle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U57" s="187" t="e">
        <f t="shared" ref="U57:U68" si="90">T57/T$69</f>
        <v>#DIV/0!</v>
      </c>
      <c r="V57">
        <f>SUMIFS(Tabla_Registro_de_movimientos_app.accdb[Importe_Gasto],Tabla_Registro_de_movimientos_app.accdb[Sucursal],Sucursal_Semanal!V$5,Tabla_Registro_de_movimientos_app.accdb[Detalle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W57" s="187" t="e">
        <f t="shared" ref="W57:W68" si="91">V57/V$69</f>
        <v>#DIV/0!</v>
      </c>
      <c r="X57" s="115">
        <f>SUMIFS(Tabla_Registro_de_movimientos_app.accdb[Importe_Gasto],Tabla_Registro_de_movimientos_app.accdb[Sucursal],Sucursal_Semanal!X$5,Tabla_Registro_de_movimientos_app.accdb[Detalle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Y57" s="187" t="e">
        <f t="shared" ref="Y57:Y68" si="92">X57/X$69</f>
        <v>#DIV/0!</v>
      </c>
      <c r="Z57" s="115">
        <f>SUMIFS(Tabla_Registro_de_movimientos_app.accdb[Importe_Gasto],Tabla_Registro_de_movimientos_app.accdb[Sucursal],Sucursal_Semanal!Z$5,Tabla_Registro_de_movimientos_app.accdb[Detalle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A57" s="187" t="e">
        <f t="shared" ref="AA57:AA68" si="93">Z57/Z$69</f>
        <v>#DIV/0!</v>
      </c>
      <c r="AB57">
        <f>SUMIFS(Tabla_Registro_de_movimientos_app.accdb[Importe_Gasto],Tabla_Registro_de_movimientos_app.accdb[Sucursal],Sucursal_Semanal!AB$5,Tabla_Registro_de_movimientos_app.accdb[Detalle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C57" s="187" t="e">
        <f t="shared" ref="AC57:AC68" si="94">AB57/AB$69</f>
        <v>#DIV/0!</v>
      </c>
      <c r="AD57" s="115">
        <f>SUMIFS(Tabla_Registro_de_movimientos_app.accdb[Importe_Gasto],Tabla_Registro_de_movimientos_app.accdb[Sucursal],Sucursal_Semanal!AD$5,Tabla_Registro_de_movimientos_app.accdb[Detalle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E57" s="187" t="e">
        <f t="shared" ref="AE57:AE68" si="95">AD57/AD$69</f>
        <v>#DIV/0!</v>
      </c>
      <c r="AF57" s="115">
        <f>SUMIFS(Tabla_Registro_de_movimientos_app.accdb[Importe_Gasto],Tabla_Registro_de_movimientos_app.accdb[Sucursal],Sucursal_Semanal!AF$5,Tabla_Registro_de_movimientos_app.accdb[Detalle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G57" s="187" t="e">
        <f t="shared" ref="AG57:AG68" si="96">AF57/AF$69</f>
        <v>#DIV/0!</v>
      </c>
      <c r="AH57">
        <f>SUMIFS(Tabla_Registro_de_movimientos_app.accdb[Importe_Gasto],Tabla_Registro_de_movimientos_app.accdb[Sucursal],Sucursal_Semanal!AH$5,Tabla_Registro_de_movimientos_app.accdb[Detalle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I57" s="187" t="e">
        <f t="shared" ref="AI57:AI68" si="97">AH57/AH$69</f>
        <v>#DIV/0!</v>
      </c>
      <c r="AJ57">
        <f>SUMIFS(Tabla_Registro_de_movimientos_app.accdb[Importe_Gasto],Tabla_Registro_de_movimientos_app.accdb[Sucursal],Sucursal_Semanal!AJ$5,Tabla_Registro_de_movimientos_app.accdb[Detalle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K57" s="187" t="e">
        <f t="shared" ref="AK57:AK68" si="98">AJ57/AJ$69</f>
        <v>#DIV/0!</v>
      </c>
      <c r="AM57" s="188">
        <f t="shared" ref="AM57:AM68" si="99">SUM(B57,D57,F57,H57,J57,L57,N57,P57,R57,T57,V57,X57,Z57,AB57,AD57,AF57,AH57,AJ57)</f>
        <v>0</v>
      </c>
      <c r="AN57" s="189" t="e">
        <f t="shared" ref="AN57:AN68" si="100">AM57/$AM$69</f>
        <v>#DIV/0!</v>
      </c>
    </row>
    <row r="58" spans="1:40" x14ac:dyDescent="0.25">
      <c r="A58" t="s">
        <v>64</v>
      </c>
      <c r="B58" s="115">
        <f>SUMIFS(Tabla_Registro_de_movimientos_app.accdb[Importe_Gasto],Tabla_Registro_de_movimientos_app.accdb[Sucursal],Sucursal_Semanal!$B$5,Tabla_Registro_de_movimientos_app.accdb[Detalle de movimiento],Sucursal_Semanal!A58,Tabla_Registro_de_movimientos_app.accdb[Fecha],"&gt;"&amp;Sucursal_Semanal!$B$4,Tabla_Registro_de_movimientos_app.accdb[Fecha],"&lt;="&amp;Sucursal_Semanal!$C$4)</f>
        <v>0</v>
      </c>
      <c r="C58" s="194" t="e">
        <f t="shared" si="81"/>
        <v>#DIV/0!</v>
      </c>
      <c r="D58" s="115">
        <f>SUMIFS(Tabla_Registro_de_movimientos_app.accdb[Importe_Gasto],Tabla_Registro_de_movimientos_app.accdb[Sucursal],Sucursal_Semanal!D$5,Tabla_Registro_de_movimientos_app.accdb[Detalle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E58" s="187" t="e">
        <f t="shared" si="82"/>
        <v>#DIV/0!</v>
      </c>
      <c r="F58" s="115">
        <f>SUMIFS(Tabla_Registro_de_movimientos_app.accdb[Importe_Gasto],Tabla_Registro_de_movimientos_app.accdb[Sucursal],Sucursal_Semanal!F$5,Tabla_Registro_de_movimientos_app.accdb[Detalle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G58" s="187" t="e">
        <f t="shared" si="83"/>
        <v>#DIV/0!</v>
      </c>
      <c r="H58" s="115">
        <f>SUMIFS(Tabla_Registro_de_movimientos_app.accdb[Importe_Gasto],Tabla_Registro_de_movimientos_app.accdb[Sucursal],Sucursal_Semanal!H$5,Tabla_Registro_de_movimientos_app.accdb[Detalle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I58" s="187" t="e">
        <f t="shared" si="84"/>
        <v>#DIV/0!</v>
      </c>
      <c r="J58">
        <f>SUMIFS(Tabla_Registro_de_movimientos_app.accdb[Importe_Gasto],Tabla_Registro_de_movimientos_app.accdb[Sucursal],Sucursal_Semanal!J$5,Tabla_Registro_de_movimientos_app.accdb[Detalle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K58" s="187" t="e">
        <f t="shared" si="85"/>
        <v>#DIV/0!</v>
      </c>
      <c r="L58" s="115">
        <f>SUMIFS(Tabla_Registro_de_movimientos_app.accdb[Importe_Gasto],Tabla_Registro_de_movimientos_app.accdb[Sucursal],Sucursal_Semanal!L$5,Tabla_Registro_de_movimientos_app.accdb[Detalle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M58" s="187" t="e">
        <f t="shared" si="86"/>
        <v>#DIV/0!</v>
      </c>
      <c r="N58" s="115">
        <f>SUMIFS(Tabla_Registro_de_movimientos_app.accdb[Importe_Gasto],Tabla_Registro_de_movimientos_app.accdb[Sucursal],Sucursal_Semanal!N$5,Tabla_Registro_de_movimientos_app.accdb[Detalle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O58" s="187" t="e">
        <f t="shared" si="87"/>
        <v>#DIV/0!</v>
      </c>
      <c r="P58" s="115">
        <f>SUMIFS(Tabla_Registro_de_movimientos_app.accdb[Importe_Gasto],Tabla_Registro_de_movimientos_app.accdb[Sucursal],Sucursal_Semanal!P$5,Tabla_Registro_de_movimientos_app.accdb[Detalle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Q58" s="187" t="e">
        <f t="shared" si="88"/>
        <v>#DIV/0!</v>
      </c>
      <c r="R58" s="115">
        <f>SUMIFS(Tabla_Registro_de_movimientos_app.accdb[Importe_Gasto],Tabla_Registro_de_movimientos_app.accdb[Sucursal],Sucursal_Semanal!R$5,Tabla_Registro_de_movimientos_app.accdb[Detalle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S58" s="187" t="e">
        <f t="shared" si="89"/>
        <v>#DIV/0!</v>
      </c>
      <c r="T58" s="115">
        <f>SUMIFS(Tabla_Registro_de_movimientos_app.accdb[Importe_Gasto],Tabla_Registro_de_movimientos_app.accdb[Sucursal],Sucursal_Semanal!T$5,Tabla_Registro_de_movimientos_app.accdb[Detalle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U58" s="187" t="e">
        <f t="shared" si="90"/>
        <v>#DIV/0!</v>
      </c>
      <c r="V58">
        <f>SUMIFS(Tabla_Registro_de_movimientos_app.accdb[Importe_Gasto],Tabla_Registro_de_movimientos_app.accdb[Sucursal],Sucursal_Semanal!V$5,Tabla_Registro_de_movimientos_app.accdb[Detalle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W58" s="187" t="e">
        <f t="shared" si="91"/>
        <v>#DIV/0!</v>
      </c>
      <c r="X58" s="115">
        <f>SUMIFS(Tabla_Registro_de_movimientos_app.accdb[Importe_Gasto],Tabla_Registro_de_movimientos_app.accdb[Sucursal],Sucursal_Semanal!X$5,Tabla_Registro_de_movimientos_app.accdb[Detalle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Y58" s="187" t="e">
        <f t="shared" si="92"/>
        <v>#DIV/0!</v>
      </c>
      <c r="Z58" s="115">
        <f>SUMIFS(Tabla_Registro_de_movimientos_app.accdb[Importe_Gasto],Tabla_Registro_de_movimientos_app.accdb[Sucursal],Sucursal_Semanal!Z$5,Tabla_Registro_de_movimientos_app.accdb[Detalle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A58" s="187" t="e">
        <f t="shared" si="93"/>
        <v>#DIV/0!</v>
      </c>
      <c r="AB58">
        <f>SUMIFS(Tabla_Registro_de_movimientos_app.accdb[Importe_Gasto],Tabla_Registro_de_movimientos_app.accdb[Sucursal],Sucursal_Semanal!AB$5,Tabla_Registro_de_movimientos_app.accdb[Detalle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C58" s="187" t="e">
        <f t="shared" si="94"/>
        <v>#DIV/0!</v>
      </c>
      <c r="AD58" s="115">
        <f>SUMIFS(Tabla_Registro_de_movimientos_app.accdb[Importe_Gasto],Tabla_Registro_de_movimientos_app.accdb[Sucursal],Sucursal_Semanal!AD$5,Tabla_Registro_de_movimientos_app.accdb[Detalle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E58" s="187" t="e">
        <f t="shared" si="95"/>
        <v>#DIV/0!</v>
      </c>
      <c r="AF58" s="115">
        <f>SUMIFS(Tabla_Registro_de_movimientos_app.accdb[Importe_Gasto],Tabla_Registro_de_movimientos_app.accdb[Sucursal],Sucursal_Semanal!AF$5,Tabla_Registro_de_movimientos_app.accdb[Detalle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G58" s="187" t="e">
        <f t="shared" si="96"/>
        <v>#DIV/0!</v>
      </c>
      <c r="AH58">
        <f>SUMIFS(Tabla_Registro_de_movimientos_app.accdb[Importe_Gasto],Tabla_Registro_de_movimientos_app.accdb[Sucursal],Sucursal_Semanal!AH$5,Tabla_Registro_de_movimientos_app.accdb[Detalle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I58" s="187" t="e">
        <f t="shared" si="97"/>
        <v>#DIV/0!</v>
      </c>
      <c r="AJ58">
        <f>SUMIFS(Tabla_Registro_de_movimientos_app.accdb[Importe_Gasto],Tabla_Registro_de_movimientos_app.accdb[Sucursal],Sucursal_Semanal!AJ$5,Tabla_Registro_de_movimientos_app.accdb[Detalle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K58" s="187" t="e">
        <f t="shared" si="98"/>
        <v>#DIV/0!</v>
      </c>
      <c r="AM58" s="188">
        <f t="shared" si="99"/>
        <v>0</v>
      </c>
      <c r="AN58" s="189" t="e">
        <f t="shared" si="100"/>
        <v>#DIV/0!</v>
      </c>
    </row>
    <row r="59" spans="1:40" x14ac:dyDescent="0.25">
      <c r="A59" t="s">
        <v>65</v>
      </c>
      <c r="B59" s="115">
        <f>SUMIFS(Tabla_Registro_de_movimientos_app.accdb[Importe_Gasto],Tabla_Registro_de_movimientos_app.accdb[Sucursal],Sucursal_Semanal!$B$5,Tabla_Registro_de_movimientos_app.accdb[Detalle de movimiento],Sucursal_Semanal!A59,Tabla_Registro_de_movimientos_app.accdb[Fecha],"&gt;"&amp;Sucursal_Semanal!$B$4,Tabla_Registro_de_movimientos_app.accdb[Fecha],"&lt;="&amp;Sucursal_Semanal!$C$4)</f>
        <v>0</v>
      </c>
      <c r="C59" s="194" t="e">
        <f t="shared" si="81"/>
        <v>#DIV/0!</v>
      </c>
      <c r="D59" s="115">
        <f>SUMIFS(Tabla_Registro_de_movimientos_app.accdb[Importe_Gasto],Tabla_Registro_de_movimientos_app.accdb[Sucursal],Sucursal_Semanal!D$5,Tabla_Registro_de_movimientos_app.accdb[Detalle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E59" s="187" t="e">
        <f t="shared" si="82"/>
        <v>#DIV/0!</v>
      </c>
      <c r="F59" s="115">
        <f>SUMIFS(Tabla_Registro_de_movimientos_app.accdb[Importe_Gasto],Tabla_Registro_de_movimientos_app.accdb[Sucursal],Sucursal_Semanal!F$5,Tabla_Registro_de_movimientos_app.accdb[Detalle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G59" s="187" t="e">
        <f t="shared" si="83"/>
        <v>#DIV/0!</v>
      </c>
      <c r="H59" s="115">
        <f>SUMIFS(Tabla_Registro_de_movimientos_app.accdb[Importe_Gasto],Tabla_Registro_de_movimientos_app.accdb[Sucursal],Sucursal_Semanal!H$5,Tabla_Registro_de_movimientos_app.accdb[Detalle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I59" s="187" t="e">
        <f t="shared" si="84"/>
        <v>#DIV/0!</v>
      </c>
      <c r="J59">
        <f>SUMIFS(Tabla_Registro_de_movimientos_app.accdb[Importe_Gasto],Tabla_Registro_de_movimientos_app.accdb[Sucursal],Sucursal_Semanal!J$5,Tabla_Registro_de_movimientos_app.accdb[Detalle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K59" s="187" t="e">
        <f t="shared" si="85"/>
        <v>#DIV/0!</v>
      </c>
      <c r="L59" s="115">
        <f>SUMIFS(Tabla_Registro_de_movimientos_app.accdb[Importe_Gasto],Tabla_Registro_de_movimientos_app.accdb[Sucursal],Sucursal_Semanal!L$5,Tabla_Registro_de_movimientos_app.accdb[Detalle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M59" s="187" t="e">
        <f t="shared" si="86"/>
        <v>#DIV/0!</v>
      </c>
      <c r="N59" s="115">
        <f>SUMIFS(Tabla_Registro_de_movimientos_app.accdb[Importe_Gasto],Tabla_Registro_de_movimientos_app.accdb[Sucursal],Sucursal_Semanal!N$5,Tabla_Registro_de_movimientos_app.accdb[Detalle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O59" s="187" t="e">
        <f t="shared" si="87"/>
        <v>#DIV/0!</v>
      </c>
      <c r="P59" s="115">
        <f>SUMIFS(Tabla_Registro_de_movimientos_app.accdb[Importe_Gasto],Tabla_Registro_de_movimientos_app.accdb[Sucursal],Sucursal_Semanal!P$5,Tabla_Registro_de_movimientos_app.accdb[Detalle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Q59" s="187" t="e">
        <f t="shared" si="88"/>
        <v>#DIV/0!</v>
      </c>
      <c r="R59" s="115">
        <f>SUMIFS(Tabla_Registro_de_movimientos_app.accdb[Importe_Gasto],Tabla_Registro_de_movimientos_app.accdb[Sucursal],Sucursal_Semanal!R$5,Tabla_Registro_de_movimientos_app.accdb[Detalle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S59" s="187" t="e">
        <f t="shared" si="89"/>
        <v>#DIV/0!</v>
      </c>
      <c r="T59" s="115">
        <f>SUMIFS(Tabla_Registro_de_movimientos_app.accdb[Importe_Gasto],Tabla_Registro_de_movimientos_app.accdb[Sucursal],Sucursal_Semanal!T$5,Tabla_Registro_de_movimientos_app.accdb[Detalle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U59" s="187" t="e">
        <f t="shared" si="90"/>
        <v>#DIV/0!</v>
      </c>
      <c r="V59">
        <f>SUMIFS(Tabla_Registro_de_movimientos_app.accdb[Importe_Gasto],Tabla_Registro_de_movimientos_app.accdb[Sucursal],Sucursal_Semanal!V$5,Tabla_Registro_de_movimientos_app.accdb[Detalle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W59" s="187" t="e">
        <f t="shared" si="91"/>
        <v>#DIV/0!</v>
      </c>
      <c r="X59" s="115">
        <f>SUMIFS(Tabla_Registro_de_movimientos_app.accdb[Importe_Gasto],Tabla_Registro_de_movimientos_app.accdb[Sucursal],Sucursal_Semanal!X$5,Tabla_Registro_de_movimientos_app.accdb[Detalle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Y59" s="187" t="e">
        <f t="shared" si="92"/>
        <v>#DIV/0!</v>
      </c>
      <c r="Z59" s="115">
        <f>SUMIFS(Tabla_Registro_de_movimientos_app.accdb[Importe_Gasto],Tabla_Registro_de_movimientos_app.accdb[Sucursal],Sucursal_Semanal!Z$5,Tabla_Registro_de_movimientos_app.accdb[Detalle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A59" s="187" t="e">
        <f t="shared" si="93"/>
        <v>#DIV/0!</v>
      </c>
      <c r="AB59">
        <f>SUMIFS(Tabla_Registro_de_movimientos_app.accdb[Importe_Gasto],Tabla_Registro_de_movimientos_app.accdb[Sucursal],Sucursal_Semanal!AB$5,Tabla_Registro_de_movimientos_app.accdb[Detalle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C59" s="187" t="e">
        <f t="shared" si="94"/>
        <v>#DIV/0!</v>
      </c>
      <c r="AD59" s="115">
        <f>SUMIFS(Tabla_Registro_de_movimientos_app.accdb[Importe_Gasto],Tabla_Registro_de_movimientos_app.accdb[Sucursal],Sucursal_Semanal!AD$5,Tabla_Registro_de_movimientos_app.accdb[Detalle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E59" s="187" t="e">
        <f t="shared" si="95"/>
        <v>#DIV/0!</v>
      </c>
      <c r="AF59" s="115">
        <f>SUMIFS(Tabla_Registro_de_movimientos_app.accdb[Importe_Gasto],Tabla_Registro_de_movimientos_app.accdb[Sucursal],Sucursal_Semanal!AF$5,Tabla_Registro_de_movimientos_app.accdb[Detalle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G59" s="187" t="e">
        <f t="shared" si="96"/>
        <v>#DIV/0!</v>
      </c>
      <c r="AH59">
        <f>SUMIFS(Tabla_Registro_de_movimientos_app.accdb[Importe_Gasto],Tabla_Registro_de_movimientos_app.accdb[Sucursal],Sucursal_Semanal!AH$5,Tabla_Registro_de_movimientos_app.accdb[Detalle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I59" s="187" t="e">
        <f t="shared" si="97"/>
        <v>#DIV/0!</v>
      </c>
      <c r="AJ59">
        <f>SUMIFS(Tabla_Registro_de_movimientos_app.accdb[Importe_Gasto],Tabla_Registro_de_movimientos_app.accdb[Sucursal],Sucursal_Semanal!AJ$5,Tabla_Registro_de_movimientos_app.accdb[Detalle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K59" s="187" t="e">
        <f t="shared" si="98"/>
        <v>#DIV/0!</v>
      </c>
      <c r="AM59" s="188">
        <f t="shared" si="99"/>
        <v>0</v>
      </c>
      <c r="AN59" s="189" t="e">
        <f t="shared" si="100"/>
        <v>#DIV/0!</v>
      </c>
    </row>
    <row r="60" spans="1:40" x14ac:dyDescent="0.25">
      <c r="A60" t="s">
        <v>66</v>
      </c>
      <c r="B60" s="115">
        <f>SUMIFS(Tabla_Registro_de_movimientos_app.accdb[Importe_Gasto],Tabla_Registro_de_movimientos_app.accdb[Sucursal],Sucursal_Semanal!$B$5,Tabla_Registro_de_movimientos_app.accdb[Detalle de movimiento],Sucursal_Semanal!A60,Tabla_Registro_de_movimientos_app.accdb[Fecha],"&gt;"&amp;Sucursal_Semanal!$B$4,Tabla_Registro_de_movimientos_app.accdb[Fecha],"&lt;="&amp;Sucursal_Semanal!$C$4)</f>
        <v>0</v>
      </c>
      <c r="C60" s="194" t="e">
        <f t="shared" si="81"/>
        <v>#DIV/0!</v>
      </c>
      <c r="D60" s="115">
        <f>SUMIFS(Tabla_Registro_de_movimientos_app.accdb[Importe_Gasto],Tabla_Registro_de_movimientos_app.accdb[Sucursal],Sucursal_Semanal!D$5,Tabla_Registro_de_movimientos_app.accdb[Detalle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E60" s="187" t="e">
        <f t="shared" si="82"/>
        <v>#DIV/0!</v>
      </c>
      <c r="F60" s="115">
        <f>SUMIFS(Tabla_Registro_de_movimientos_app.accdb[Importe_Gasto],Tabla_Registro_de_movimientos_app.accdb[Sucursal],Sucursal_Semanal!F$5,Tabla_Registro_de_movimientos_app.accdb[Detalle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G60" s="187" t="e">
        <f t="shared" si="83"/>
        <v>#DIV/0!</v>
      </c>
      <c r="H60" s="115">
        <f>SUMIFS(Tabla_Registro_de_movimientos_app.accdb[Importe_Gasto],Tabla_Registro_de_movimientos_app.accdb[Sucursal],Sucursal_Semanal!H$5,Tabla_Registro_de_movimientos_app.accdb[Detalle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I60" s="187" t="e">
        <f t="shared" si="84"/>
        <v>#DIV/0!</v>
      </c>
      <c r="J60">
        <f>SUMIFS(Tabla_Registro_de_movimientos_app.accdb[Importe_Gasto],Tabla_Registro_de_movimientos_app.accdb[Sucursal],Sucursal_Semanal!J$5,Tabla_Registro_de_movimientos_app.accdb[Detalle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K60" s="187" t="e">
        <f t="shared" si="85"/>
        <v>#DIV/0!</v>
      </c>
      <c r="L60" s="115">
        <f>SUMIFS(Tabla_Registro_de_movimientos_app.accdb[Importe_Gasto],Tabla_Registro_de_movimientos_app.accdb[Sucursal],Sucursal_Semanal!L$5,Tabla_Registro_de_movimientos_app.accdb[Detalle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M60" s="187" t="e">
        <f t="shared" si="86"/>
        <v>#DIV/0!</v>
      </c>
      <c r="N60" s="115">
        <f>SUMIFS(Tabla_Registro_de_movimientos_app.accdb[Importe_Gasto],Tabla_Registro_de_movimientos_app.accdb[Sucursal],Sucursal_Semanal!N$5,Tabla_Registro_de_movimientos_app.accdb[Detalle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O60" s="187" t="e">
        <f t="shared" si="87"/>
        <v>#DIV/0!</v>
      </c>
      <c r="P60" s="115">
        <f>SUMIFS(Tabla_Registro_de_movimientos_app.accdb[Importe_Gasto],Tabla_Registro_de_movimientos_app.accdb[Sucursal],Sucursal_Semanal!P$5,Tabla_Registro_de_movimientos_app.accdb[Detalle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Q60" s="187" t="e">
        <f t="shared" si="88"/>
        <v>#DIV/0!</v>
      </c>
      <c r="R60" s="115">
        <f>SUMIFS(Tabla_Registro_de_movimientos_app.accdb[Importe_Gasto],Tabla_Registro_de_movimientos_app.accdb[Sucursal],Sucursal_Semanal!R$5,Tabla_Registro_de_movimientos_app.accdb[Detalle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S60" s="187" t="e">
        <f t="shared" si="89"/>
        <v>#DIV/0!</v>
      </c>
      <c r="T60" s="115">
        <f>SUMIFS(Tabla_Registro_de_movimientos_app.accdb[Importe_Gasto],Tabla_Registro_de_movimientos_app.accdb[Sucursal],Sucursal_Semanal!T$5,Tabla_Registro_de_movimientos_app.accdb[Detalle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U60" s="187" t="e">
        <f t="shared" si="90"/>
        <v>#DIV/0!</v>
      </c>
      <c r="V60">
        <f>SUMIFS(Tabla_Registro_de_movimientos_app.accdb[Importe_Gasto],Tabla_Registro_de_movimientos_app.accdb[Sucursal],Sucursal_Semanal!V$5,Tabla_Registro_de_movimientos_app.accdb[Detalle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W60" s="187" t="e">
        <f t="shared" si="91"/>
        <v>#DIV/0!</v>
      </c>
      <c r="X60" s="115">
        <f>SUMIFS(Tabla_Registro_de_movimientos_app.accdb[Importe_Gasto],Tabla_Registro_de_movimientos_app.accdb[Sucursal],Sucursal_Semanal!X$5,Tabla_Registro_de_movimientos_app.accdb[Detalle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Y60" s="187" t="e">
        <f t="shared" si="92"/>
        <v>#DIV/0!</v>
      </c>
      <c r="Z60" s="115">
        <f>SUMIFS(Tabla_Registro_de_movimientos_app.accdb[Importe_Gasto],Tabla_Registro_de_movimientos_app.accdb[Sucursal],Sucursal_Semanal!Z$5,Tabla_Registro_de_movimientos_app.accdb[Detalle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A60" s="187" t="e">
        <f t="shared" si="93"/>
        <v>#DIV/0!</v>
      </c>
      <c r="AB60">
        <f>SUMIFS(Tabla_Registro_de_movimientos_app.accdb[Importe_Gasto],Tabla_Registro_de_movimientos_app.accdb[Sucursal],Sucursal_Semanal!AB$5,Tabla_Registro_de_movimientos_app.accdb[Detalle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C60" s="187" t="e">
        <f t="shared" si="94"/>
        <v>#DIV/0!</v>
      </c>
      <c r="AD60" s="115">
        <f>SUMIFS(Tabla_Registro_de_movimientos_app.accdb[Importe_Gasto],Tabla_Registro_de_movimientos_app.accdb[Sucursal],Sucursal_Semanal!AD$5,Tabla_Registro_de_movimientos_app.accdb[Detalle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E60" s="187" t="e">
        <f t="shared" si="95"/>
        <v>#DIV/0!</v>
      </c>
      <c r="AF60" s="115">
        <f>SUMIFS(Tabla_Registro_de_movimientos_app.accdb[Importe_Gasto],Tabla_Registro_de_movimientos_app.accdb[Sucursal],Sucursal_Semanal!AF$5,Tabla_Registro_de_movimientos_app.accdb[Detalle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G60" s="187" t="e">
        <f t="shared" si="96"/>
        <v>#DIV/0!</v>
      </c>
      <c r="AH60">
        <f>SUMIFS(Tabla_Registro_de_movimientos_app.accdb[Importe_Gasto],Tabla_Registro_de_movimientos_app.accdb[Sucursal],Sucursal_Semanal!AH$5,Tabla_Registro_de_movimientos_app.accdb[Detalle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I60" s="187" t="e">
        <f t="shared" si="97"/>
        <v>#DIV/0!</v>
      </c>
      <c r="AJ60">
        <f>SUMIFS(Tabla_Registro_de_movimientos_app.accdb[Importe_Gasto],Tabla_Registro_de_movimientos_app.accdb[Sucursal],Sucursal_Semanal!AJ$5,Tabla_Registro_de_movimientos_app.accdb[Detalle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K60" s="187" t="e">
        <f t="shared" si="98"/>
        <v>#DIV/0!</v>
      </c>
      <c r="AM60" s="188">
        <f t="shared" si="99"/>
        <v>0</v>
      </c>
      <c r="AN60" s="189" t="e">
        <f t="shared" si="100"/>
        <v>#DIV/0!</v>
      </c>
    </row>
    <row r="61" spans="1:40" x14ac:dyDescent="0.25">
      <c r="A61" t="s">
        <v>67</v>
      </c>
      <c r="B61" s="115">
        <f>SUMIFS(Tabla_Registro_de_movimientos_app.accdb[Importe_Gasto],Tabla_Registro_de_movimientos_app.accdb[Sucursal],Sucursal_Semanal!$B$5,Tabla_Registro_de_movimientos_app.accdb[Detalle de movimiento],Sucursal_Semanal!A61,Tabla_Registro_de_movimientos_app.accdb[Fecha],"&gt;"&amp;Sucursal_Semanal!$B$4,Tabla_Registro_de_movimientos_app.accdb[Fecha],"&lt;="&amp;Sucursal_Semanal!$C$4)</f>
        <v>0</v>
      </c>
      <c r="C61" s="194" t="e">
        <f t="shared" si="81"/>
        <v>#DIV/0!</v>
      </c>
      <c r="D61" s="115">
        <f>SUMIFS(Tabla_Registro_de_movimientos_app.accdb[Importe_Gasto],Tabla_Registro_de_movimientos_app.accdb[Sucursal],Sucursal_Semanal!D$5,Tabla_Registro_de_movimientos_app.accdb[Detalle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E61" s="187" t="e">
        <f t="shared" si="82"/>
        <v>#DIV/0!</v>
      </c>
      <c r="F61" s="115">
        <f>SUMIFS(Tabla_Registro_de_movimientos_app.accdb[Importe_Gasto],Tabla_Registro_de_movimientos_app.accdb[Sucursal],Sucursal_Semanal!F$5,Tabla_Registro_de_movimientos_app.accdb[Detalle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G61" s="187" t="e">
        <f t="shared" si="83"/>
        <v>#DIV/0!</v>
      </c>
      <c r="H61" s="115">
        <f>SUMIFS(Tabla_Registro_de_movimientos_app.accdb[Importe_Gasto],Tabla_Registro_de_movimientos_app.accdb[Sucursal],Sucursal_Semanal!H$5,Tabla_Registro_de_movimientos_app.accdb[Detalle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I61" s="187" t="e">
        <f t="shared" si="84"/>
        <v>#DIV/0!</v>
      </c>
      <c r="J61">
        <f>SUMIFS(Tabla_Registro_de_movimientos_app.accdb[Importe_Gasto],Tabla_Registro_de_movimientos_app.accdb[Sucursal],Sucursal_Semanal!J$5,Tabla_Registro_de_movimientos_app.accdb[Detalle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K61" s="187" t="e">
        <f t="shared" si="85"/>
        <v>#DIV/0!</v>
      </c>
      <c r="L61" s="115">
        <f>SUMIFS(Tabla_Registro_de_movimientos_app.accdb[Importe_Gasto],Tabla_Registro_de_movimientos_app.accdb[Sucursal],Sucursal_Semanal!L$5,Tabla_Registro_de_movimientos_app.accdb[Detalle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M61" s="187" t="e">
        <f t="shared" si="86"/>
        <v>#DIV/0!</v>
      </c>
      <c r="N61" s="115">
        <f>SUMIFS(Tabla_Registro_de_movimientos_app.accdb[Importe_Gasto],Tabla_Registro_de_movimientos_app.accdb[Sucursal],Sucursal_Semanal!N$5,Tabla_Registro_de_movimientos_app.accdb[Detalle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O61" s="187" t="e">
        <f t="shared" si="87"/>
        <v>#DIV/0!</v>
      </c>
      <c r="P61" s="115">
        <f>SUMIFS(Tabla_Registro_de_movimientos_app.accdb[Importe_Gasto],Tabla_Registro_de_movimientos_app.accdb[Sucursal],Sucursal_Semanal!P$5,Tabla_Registro_de_movimientos_app.accdb[Detalle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Q61" s="187" t="e">
        <f t="shared" si="88"/>
        <v>#DIV/0!</v>
      </c>
      <c r="R61" s="115">
        <f>SUMIFS(Tabla_Registro_de_movimientos_app.accdb[Importe_Gasto],Tabla_Registro_de_movimientos_app.accdb[Sucursal],Sucursal_Semanal!R$5,Tabla_Registro_de_movimientos_app.accdb[Detalle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S61" s="187" t="e">
        <f t="shared" si="89"/>
        <v>#DIV/0!</v>
      </c>
      <c r="T61" s="115">
        <f>SUMIFS(Tabla_Registro_de_movimientos_app.accdb[Importe_Gasto],Tabla_Registro_de_movimientos_app.accdb[Sucursal],Sucursal_Semanal!T$5,Tabla_Registro_de_movimientos_app.accdb[Detalle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U61" s="187" t="e">
        <f t="shared" si="90"/>
        <v>#DIV/0!</v>
      </c>
      <c r="V61">
        <f>SUMIFS(Tabla_Registro_de_movimientos_app.accdb[Importe_Gasto],Tabla_Registro_de_movimientos_app.accdb[Sucursal],Sucursal_Semanal!V$5,Tabla_Registro_de_movimientos_app.accdb[Detalle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W61" s="187" t="e">
        <f t="shared" si="91"/>
        <v>#DIV/0!</v>
      </c>
      <c r="X61" s="115">
        <f>SUMIFS(Tabla_Registro_de_movimientos_app.accdb[Importe_Gasto],Tabla_Registro_de_movimientos_app.accdb[Sucursal],Sucursal_Semanal!X$5,Tabla_Registro_de_movimientos_app.accdb[Detalle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Y61" s="187" t="e">
        <f t="shared" si="92"/>
        <v>#DIV/0!</v>
      </c>
      <c r="Z61" s="115">
        <f>SUMIFS(Tabla_Registro_de_movimientos_app.accdb[Importe_Gasto],Tabla_Registro_de_movimientos_app.accdb[Sucursal],Sucursal_Semanal!Z$5,Tabla_Registro_de_movimientos_app.accdb[Detalle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A61" s="187" t="e">
        <f t="shared" si="93"/>
        <v>#DIV/0!</v>
      </c>
      <c r="AB61">
        <f>SUMIFS(Tabla_Registro_de_movimientos_app.accdb[Importe_Gasto],Tabla_Registro_de_movimientos_app.accdb[Sucursal],Sucursal_Semanal!AB$5,Tabla_Registro_de_movimientos_app.accdb[Detalle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C61" s="187" t="e">
        <f t="shared" si="94"/>
        <v>#DIV/0!</v>
      </c>
      <c r="AD61" s="115">
        <f>SUMIFS(Tabla_Registro_de_movimientos_app.accdb[Importe_Gasto],Tabla_Registro_de_movimientos_app.accdb[Sucursal],Sucursal_Semanal!AD$5,Tabla_Registro_de_movimientos_app.accdb[Detalle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E61" s="187" t="e">
        <f t="shared" si="95"/>
        <v>#DIV/0!</v>
      </c>
      <c r="AF61" s="115">
        <f>SUMIFS(Tabla_Registro_de_movimientos_app.accdb[Importe_Gasto],Tabla_Registro_de_movimientos_app.accdb[Sucursal],Sucursal_Semanal!AF$5,Tabla_Registro_de_movimientos_app.accdb[Detalle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G61" s="187" t="e">
        <f t="shared" si="96"/>
        <v>#DIV/0!</v>
      </c>
      <c r="AH61">
        <f>SUMIFS(Tabla_Registro_de_movimientos_app.accdb[Importe_Gasto],Tabla_Registro_de_movimientos_app.accdb[Sucursal],Sucursal_Semanal!AH$5,Tabla_Registro_de_movimientos_app.accdb[Detalle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I61" s="187" t="e">
        <f t="shared" si="97"/>
        <v>#DIV/0!</v>
      </c>
      <c r="AJ61">
        <f>SUMIFS(Tabla_Registro_de_movimientos_app.accdb[Importe_Gasto],Tabla_Registro_de_movimientos_app.accdb[Sucursal],Sucursal_Semanal!AJ$5,Tabla_Registro_de_movimientos_app.accdb[Detalle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K61" s="187" t="e">
        <f t="shared" si="98"/>
        <v>#DIV/0!</v>
      </c>
      <c r="AM61" s="188">
        <f t="shared" si="99"/>
        <v>0</v>
      </c>
      <c r="AN61" s="189" t="e">
        <f t="shared" si="100"/>
        <v>#DIV/0!</v>
      </c>
    </row>
    <row r="62" spans="1:40" x14ac:dyDescent="0.25">
      <c r="A62" t="s">
        <v>68</v>
      </c>
      <c r="B62" s="115">
        <f>SUMIFS(Tabla_Registro_de_movimientos_app.accdb[Importe_Gasto],Tabla_Registro_de_movimientos_app.accdb[Sucursal],Sucursal_Semanal!$B$5,Tabla_Registro_de_movimientos_app.accdb[Detalle de movimiento],Sucursal_Semanal!A62,Tabla_Registro_de_movimientos_app.accdb[Fecha],"&gt;"&amp;Sucursal_Semanal!$B$4,Tabla_Registro_de_movimientos_app.accdb[Fecha],"&lt;="&amp;Sucursal_Semanal!$C$4)</f>
        <v>0</v>
      </c>
      <c r="C62" s="194" t="e">
        <f t="shared" si="81"/>
        <v>#DIV/0!</v>
      </c>
      <c r="D62" s="115">
        <f>SUMIFS(Tabla_Registro_de_movimientos_app.accdb[Importe_Gasto],Tabla_Registro_de_movimientos_app.accdb[Sucursal],Sucursal_Semanal!D$5,Tabla_Registro_de_movimientos_app.accdb[Detalle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E62" s="187" t="e">
        <f t="shared" si="82"/>
        <v>#DIV/0!</v>
      </c>
      <c r="F62" s="115">
        <f>SUMIFS(Tabla_Registro_de_movimientos_app.accdb[Importe_Gasto],Tabla_Registro_de_movimientos_app.accdb[Sucursal],Sucursal_Semanal!F$5,Tabla_Registro_de_movimientos_app.accdb[Detalle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G62" s="187" t="e">
        <f t="shared" si="83"/>
        <v>#DIV/0!</v>
      </c>
      <c r="H62" s="115">
        <f>SUMIFS(Tabla_Registro_de_movimientos_app.accdb[Importe_Gasto],Tabla_Registro_de_movimientos_app.accdb[Sucursal],Sucursal_Semanal!H$5,Tabla_Registro_de_movimientos_app.accdb[Detalle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I62" s="187" t="e">
        <f t="shared" si="84"/>
        <v>#DIV/0!</v>
      </c>
      <c r="J62">
        <f>SUMIFS(Tabla_Registro_de_movimientos_app.accdb[Importe_Gasto],Tabla_Registro_de_movimientos_app.accdb[Sucursal],Sucursal_Semanal!J$5,Tabla_Registro_de_movimientos_app.accdb[Detalle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K62" s="187" t="e">
        <f t="shared" si="85"/>
        <v>#DIV/0!</v>
      </c>
      <c r="L62" s="115">
        <f>SUMIFS(Tabla_Registro_de_movimientos_app.accdb[Importe_Gasto],Tabla_Registro_de_movimientos_app.accdb[Sucursal],Sucursal_Semanal!L$5,Tabla_Registro_de_movimientos_app.accdb[Detalle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M62" s="187" t="e">
        <f t="shared" si="86"/>
        <v>#DIV/0!</v>
      </c>
      <c r="N62" s="115">
        <f>SUMIFS(Tabla_Registro_de_movimientos_app.accdb[Importe_Gasto],Tabla_Registro_de_movimientos_app.accdb[Sucursal],Sucursal_Semanal!N$5,Tabla_Registro_de_movimientos_app.accdb[Detalle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O62" s="187" t="e">
        <f t="shared" si="87"/>
        <v>#DIV/0!</v>
      </c>
      <c r="P62" s="115">
        <f>SUMIFS(Tabla_Registro_de_movimientos_app.accdb[Importe_Gasto],Tabla_Registro_de_movimientos_app.accdb[Sucursal],Sucursal_Semanal!P$5,Tabla_Registro_de_movimientos_app.accdb[Detalle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Q62" s="187" t="e">
        <f t="shared" si="88"/>
        <v>#DIV/0!</v>
      </c>
      <c r="R62" s="115">
        <f>SUMIFS(Tabla_Registro_de_movimientos_app.accdb[Importe_Gasto],Tabla_Registro_de_movimientos_app.accdb[Sucursal],Sucursal_Semanal!R$5,Tabla_Registro_de_movimientos_app.accdb[Detalle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S62" s="187" t="e">
        <f t="shared" si="89"/>
        <v>#DIV/0!</v>
      </c>
      <c r="T62" s="115">
        <f>SUMIFS(Tabla_Registro_de_movimientos_app.accdb[Importe_Gasto],Tabla_Registro_de_movimientos_app.accdb[Sucursal],Sucursal_Semanal!T$5,Tabla_Registro_de_movimientos_app.accdb[Detalle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U62" s="187" t="e">
        <f t="shared" si="90"/>
        <v>#DIV/0!</v>
      </c>
      <c r="V62">
        <f>SUMIFS(Tabla_Registro_de_movimientos_app.accdb[Importe_Gasto],Tabla_Registro_de_movimientos_app.accdb[Sucursal],Sucursal_Semanal!V$5,Tabla_Registro_de_movimientos_app.accdb[Detalle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W62" s="187" t="e">
        <f t="shared" si="91"/>
        <v>#DIV/0!</v>
      </c>
      <c r="X62" s="115">
        <f>SUMIFS(Tabla_Registro_de_movimientos_app.accdb[Importe_Gasto],Tabla_Registro_de_movimientos_app.accdb[Sucursal],Sucursal_Semanal!X$5,Tabla_Registro_de_movimientos_app.accdb[Detalle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Y62" s="187" t="e">
        <f t="shared" si="92"/>
        <v>#DIV/0!</v>
      </c>
      <c r="Z62" s="115">
        <f>SUMIFS(Tabla_Registro_de_movimientos_app.accdb[Importe_Gasto],Tabla_Registro_de_movimientos_app.accdb[Sucursal],Sucursal_Semanal!Z$5,Tabla_Registro_de_movimientos_app.accdb[Detalle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A62" s="187" t="e">
        <f t="shared" si="93"/>
        <v>#DIV/0!</v>
      </c>
      <c r="AB62">
        <f>SUMIFS(Tabla_Registro_de_movimientos_app.accdb[Importe_Gasto],Tabla_Registro_de_movimientos_app.accdb[Sucursal],Sucursal_Semanal!AB$5,Tabla_Registro_de_movimientos_app.accdb[Detalle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C62" s="187" t="e">
        <f t="shared" si="94"/>
        <v>#DIV/0!</v>
      </c>
      <c r="AD62" s="115">
        <f>SUMIFS(Tabla_Registro_de_movimientos_app.accdb[Importe_Gasto],Tabla_Registro_de_movimientos_app.accdb[Sucursal],Sucursal_Semanal!AD$5,Tabla_Registro_de_movimientos_app.accdb[Detalle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E62" s="187" t="e">
        <f t="shared" si="95"/>
        <v>#DIV/0!</v>
      </c>
      <c r="AF62" s="115">
        <f>SUMIFS(Tabla_Registro_de_movimientos_app.accdb[Importe_Gasto],Tabla_Registro_de_movimientos_app.accdb[Sucursal],Sucursal_Semanal!AF$5,Tabla_Registro_de_movimientos_app.accdb[Detalle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G62" s="187" t="e">
        <f t="shared" si="96"/>
        <v>#DIV/0!</v>
      </c>
      <c r="AH62">
        <f>SUMIFS(Tabla_Registro_de_movimientos_app.accdb[Importe_Gasto],Tabla_Registro_de_movimientos_app.accdb[Sucursal],Sucursal_Semanal!AH$5,Tabla_Registro_de_movimientos_app.accdb[Detalle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I62" s="187" t="e">
        <f t="shared" si="97"/>
        <v>#DIV/0!</v>
      </c>
      <c r="AJ62">
        <f>SUMIFS(Tabla_Registro_de_movimientos_app.accdb[Importe_Gasto],Tabla_Registro_de_movimientos_app.accdb[Sucursal],Sucursal_Semanal!AJ$5,Tabla_Registro_de_movimientos_app.accdb[Detalle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K62" s="187" t="e">
        <f t="shared" si="98"/>
        <v>#DIV/0!</v>
      </c>
      <c r="AM62" s="188">
        <f t="shared" si="99"/>
        <v>0</v>
      </c>
      <c r="AN62" s="189" t="e">
        <f t="shared" si="100"/>
        <v>#DIV/0!</v>
      </c>
    </row>
    <row r="63" spans="1:40" x14ac:dyDescent="0.25">
      <c r="A63" t="s">
        <v>69</v>
      </c>
      <c r="B63" s="115">
        <f>SUMIFS(Tabla_Registro_de_movimientos_app.accdb[Importe_Gasto],Tabla_Registro_de_movimientos_app.accdb[Sucursal],Sucursal_Semanal!$B$5,Tabla_Registro_de_movimientos_app.accdb[Detalle de movimiento],Sucursal_Semanal!A63,Tabla_Registro_de_movimientos_app.accdb[Fecha],"&gt;"&amp;Sucursal_Semanal!$B$4,Tabla_Registro_de_movimientos_app.accdb[Fecha],"&lt;="&amp;Sucursal_Semanal!$C$4)</f>
        <v>0</v>
      </c>
      <c r="C63" s="194" t="e">
        <f t="shared" si="81"/>
        <v>#DIV/0!</v>
      </c>
      <c r="D63" s="115">
        <f>SUMIFS(Tabla_Registro_de_movimientos_app.accdb[Importe_Gasto],Tabla_Registro_de_movimientos_app.accdb[Sucursal],Sucursal_Semanal!D$5,Tabla_Registro_de_movimientos_app.accdb[Detalle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E63" s="187" t="e">
        <f t="shared" si="82"/>
        <v>#DIV/0!</v>
      </c>
      <c r="F63" s="115">
        <f>SUMIFS(Tabla_Registro_de_movimientos_app.accdb[Importe_Gasto],Tabla_Registro_de_movimientos_app.accdb[Sucursal],Sucursal_Semanal!F$5,Tabla_Registro_de_movimientos_app.accdb[Detalle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G63" s="187" t="e">
        <f t="shared" si="83"/>
        <v>#DIV/0!</v>
      </c>
      <c r="H63" s="115">
        <f>SUMIFS(Tabla_Registro_de_movimientos_app.accdb[Importe_Gasto],Tabla_Registro_de_movimientos_app.accdb[Sucursal],Sucursal_Semanal!H$5,Tabla_Registro_de_movimientos_app.accdb[Detalle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I63" s="187" t="e">
        <f t="shared" si="84"/>
        <v>#DIV/0!</v>
      </c>
      <c r="J63">
        <f>SUMIFS(Tabla_Registro_de_movimientos_app.accdb[Importe_Gasto],Tabla_Registro_de_movimientos_app.accdb[Sucursal],Sucursal_Semanal!J$5,Tabla_Registro_de_movimientos_app.accdb[Detalle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K63" s="187" t="e">
        <f t="shared" si="85"/>
        <v>#DIV/0!</v>
      </c>
      <c r="L63" s="115">
        <f>SUMIFS(Tabla_Registro_de_movimientos_app.accdb[Importe_Gasto],Tabla_Registro_de_movimientos_app.accdb[Sucursal],Sucursal_Semanal!L$5,Tabla_Registro_de_movimientos_app.accdb[Detalle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M63" s="187" t="e">
        <f t="shared" si="86"/>
        <v>#DIV/0!</v>
      </c>
      <c r="N63" s="115">
        <f>SUMIFS(Tabla_Registro_de_movimientos_app.accdb[Importe_Gasto],Tabla_Registro_de_movimientos_app.accdb[Sucursal],Sucursal_Semanal!N$5,Tabla_Registro_de_movimientos_app.accdb[Detalle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O63" s="187" t="e">
        <f t="shared" si="87"/>
        <v>#DIV/0!</v>
      </c>
      <c r="P63" s="115">
        <f>SUMIFS(Tabla_Registro_de_movimientos_app.accdb[Importe_Gasto],Tabla_Registro_de_movimientos_app.accdb[Sucursal],Sucursal_Semanal!P$5,Tabla_Registro_de_movimientos_app.accdb[Detalle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Q63" s="187" t="e">
        <f t="shared" si="88"/>
        <v>#DIV/0!</v>
      </c>
      <c r="R63" s="115">
        <f>SUMIFS(Tabla_Registro_de_movimientos_app.accdb[Importe_Gasto],Tabla_Registro_de_movimientos_app.accdb[Sucursal],Sucursal_Semanal!R$5,Tabla_Registro_de_movimientos_app.accdb[Detalle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S63" s="187" t="e">
        <f t="shared" si="89"/>
        <v>#DIV/0!</v>
      </c>
      <c r="T63" s="115">
        <f>SUMIFS(Tabla_Registro_de_movimientos_app.accdb[Importe_Gasto],Tabla_Registro_de_movimientos_app.accdb[Sucursal],Sucursal_Semanal!T$5,Tabla_Registro_de_movimientos_app.accdb[Detalle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U63" s="187" t="e">
        <f t="shared" si="90"/>
        <v>#DIV/0!</v>
      </c>
      <c r="V63">
        <f>SUMIFS(Tabla_Registro_de_movimientos_app.accdb[Importe_Gasto],Tabla_Registro_de_movimientos_app.accdb[Sucursal],Sucursal_Semanal!V$5,Tabla_Registro_de_movimientos_app.accdb[Detalle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W63" s="187" t="e">
        <f t="shared" si="91"/>
        <v>#DIV/0!</v>
      </c>
      <c r="X63" s="115">
        <f>SUMIFS(Tabla_Registro_de_movimientos_app.accdb[Importe_Gasto],Tabla_Registro_de_movimientos_app.accdb[Sucursal],Sucursal_Semanal!X$5,Tabla_Registro_de_movimientos_app.accdb[Detalle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Y63" s="187" t="e">
        <f t="shared" si="92"/>
        <v>#DIV/0!</v>
      </c>
      <c r="Z63" s="115">
        <f>SUMIFS(Tabla_Registro_de_movimientos_app.accdb[Importe_Gasto],Tabla_Registro_de_movimientos_app.accdb[Sucursal],Sucursal_Semanal!Z$5,Tabla_Registro_de_movimientos_app.accdb[Detalle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A63" s="187" t="e">
        <f t="shared" si="93"/>
        <v>#DIV/0!</v>
      </c>
      <c r="AB63">
        <f>SUMIFS(Tabla_Registro_de_movimientos_app.accdb[Importe_Gasto],Tabla_Registro_de_movimientos_app.accdb[Sucursal],Sucursal_Semanal!AB$5,Tabla_Registro_de_movimientos_app.accdb[Detalle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C63" s="187" t="e">
        <f t="shared" si="94"/>
        <v>#DIV/0!</v>
      </c>
      <c r="AD63" s="115">
        <f>SUMIFS(Tabla_Registro_de_movimientos_app.accdb[Importe_Gasto],Tabla_Registro_de_movimientos_app.accdb[Sucursal],Sucursal_Semanal!AD$5,Tabla_Registro_de_movimientos_app.accdb[Detalle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E63" s="187" t="e">
        <f t="shared" si="95"/>
        <v>#DIV/0!</v>
      </c>
      <c r="AF63" s="115">
        <f>SUMIFS(Tabla_Registro_de_movimientos_app.accdb[Importe_Gasto],Tabla_Registro_de_movimientos_app.accdb[Sucursal],Sucursal_Semanal!AF$5,Tabla_Registro_de_movimientos_app.accdb[Detalle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G63" s="187" t="e">
        <f t="shared" si="96"/>
        <v>#DIV/0!</v>
      </c>
      <c r="AH63">
        <f>SUMIFS(Tabla_Registro_de_movimientos_app.accdb[Importe_Gasto],Tabla_Registro_de_movimientos_app.accdb[Sucursal],Sucursal_Semanal!AH$5,Tabla_Registro_de_movimientos_app.accdb[Detalle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I63" s="187" t="e">
        <f t="shared" si="97"/>
        <v>#DIV/0!</v>
      </c>
      <c r="AJ63">
        <f>SUMIFS(Tabla_Registro_de_movimientos_app.accdb[Importe_Gasto],Tabla_Registro_de_movimientos_app.accdb[Sucursal],Sucursal_Semanal!AJ$5,Tabla_Registro_de_movimientos_app.accdb[Detalle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K63" s="187" t="e">
        <f t="shared" si="98"/>
        <v>#DIV/0!</v>
      </c>
      <c r="AM63" s="188">
        <f t="shared" si="99"/>
        <v>0</v>
      </c>
      <c r="AN63" s="189" t="e">
        <f t="shared" si="100"/>
        <v>#DIV/0!</v>
      </c>
    </row>
    <row r="64" spans="1:40" x14ac:dyDescent="0.25">
      <c r="A64" t="s">
        <v>70</v>
      </c>
      <c r="B64" s="115">
        <f>SUMIFS(Tabla_Registro_de_movimientos_app.accdb[Importe_Gasto],Tabla_Registro_de_movimientos_app.accdb[Sucursal],Sucursal_Semanal!$B$5,Tabla_Registro_de_movimientos_app.accdb[Detalle de movimiento],Sucursal_Semanal!A64,Tabla_Registro_de_movimientos_app.accdb[Fecha],"&gt;"&amp;Sucursal_Semanal!$B$4,Tabla_Registro_de_movimientos_app.accdb[Fecha],"&lt;="&amp;Sucursal_Semanal!$C$4)</f>
        <v>0</v>
      </c>
      <c r="C64" s="194" t="e">
        <f t="shared" si="81"/>
        <v>#DIV/0!</v>
      </c>
      <c r="D64" s="115">
        <f>SUMIFS(Tabla_Registro_de_movimientos_app.accdb[Importe_Gasto],Tabla_Registro_de_movimientos_app.accdb[Sucursal],Sucursal_Semanal!D$5,Tabla_Registro_de_movimientos_app.accdb[Detalle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E64" s="187" t="e">
        <f t="shared" si="82"/>
        <v>#DIV/0!</v>
      </c>
      <c r="F64" s="115">
        <f>SUMIFS(Tabla_Registro_de_movimientos_app.accdb[Importe_Gasto],Tabla_Registro_de_movimientos_app.accdb[Sucursal],Sucursal_Semanal!F$5,Tabla_Registro_de_movimientos_app.accdb[Detalle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G64" s="187" t="e">
        <f t="shared" si="83"/>
        <v>#DIV/0!</v>
      </c>
      <c r="H64" s="115">
        <f>SUMIFS(Tabla_Registro_de_movimientos_app.accdb[Importe_Gasto],Tabla_Registro_de_movimientos_app.accdb[Sucursal],Sucursal_Semanal!H$5,Tabla_Registro_de_movimientos_app.accdb[Detalle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I64" s="187" t="e">
        <f t="shared" si="84"/>
        <v>#DIV/0!</v>
      </c>
      <c r="J64">
        <f>SUMIFS(Tabla_Registro_de_movimientos_app.accdb[Importe_Gasto],Tabla_Registro_de_movimientos_app.accdb[Sucursal],Sucursal_Semanal!J$5,Tabla_Registro_de_movimientos_app.accdb[Detalle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K64" s="187" t="e">
        <f t="shared" si="85"/>
        <v>#DIV/0!</v>
      </c>
      <c r="L64" s="115">
        <f>SUMIFS(Tabla_Registro_de_movimientos_app.accdb[Importe_Gasto],Tabla_Registro_de_movimientos_app.accdb[Sucursal],Sucursal_Semanal!L$5,Tabla_Registro_de_movimientos_app.accdb[Detalle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M64" s="187" t="e">
        <f t="shared" si="86"/>
        <v>#DIV/0!</v>
      </c>
      <c r="N64" s="115">
        <f>SUMIFS(Tabla_Registro_de_movimientos_app.accdb[Importe_Gasto],Tabla_Registro_de_movimientos_app.accdb[Sucursal],Sucursal_Semanal!N$5,Tabla_Registro_de_movimientos_app.accdb[Detalle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O64" s="187" t="e">
        <f t="shared" si="87"/>
        <v>#DIV/0!</v>
      </c>
      <c r="P64" s="115">
        <f>SUMIFS(Tabla_Registro_de_movimientos_app.accdb[Importe_Gasto],Tabla_Registro_de_movimientos_app.accdb[Sucursal],Sucursal_Semanal!P$5,Tabla_Registro_de_movimientos_app.accdb[Detalle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Q64" s="187" t="e">
        <f t="shared" si="88"/>
        <v>#DIV/0!</v>
      </c>
      <c r="R64" s="115">
        <f>SUMIFS(Tabla_Registro_de_movimientos_app.accdb[Importe_Gasto],Tabla_Registro_de_movimientos_app.accdb[Sucursal],Sucursal_Semanal!R$5,Tabla_Registro_de_movimientos_app.accdb[Detalle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S64" s="187" t="e">
        <f t="shared" si="89"/>
        <v>#DIV/0!</v>
      </c>
      <c r="T64" s="115">
        <f>SUMIFS(Tabla_Registro_de_movimientos_app.accdb[Importe_Gasto],Tabla_Registro_de_movimientos_app.accdb[Sucursal],Sucursal_Semanal!T$5,Tabla_Registro_de_movimientos_app.accdb[Detalle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U64" s="187" t="e">
        <f t="shared" si="90"/>
        <v>#DIV/0!</v>
      </c>
      <c r="V64">
        <f>SUMIFS(Tabla_Registro_de_movimientos_app.accdb[Importe_Gasto],Tabla_Registro_de_movimientos_app.accdb[Sucursal],Sucursal_Semanal!V$5,Tabla_Registro_de_movimientos_app.accdb[Detalle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W64" s="187" t="e">
        <f t="shared" si="91"/>
        <v>#DIV/0!</v>
      </c>
      <c r="X64" s="115">
        <f>SUMIFS(Tabla_Registro_de_movimientos_app.accdb[Importe_Gasto],Tabla_Registro_de_movimientos_app.accdb[Sucursal],Sucursal_Semanal!X$5,Tabla_Registro_de_movimientos_app.accdb[Detalle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Y64" s="187" t="e">
        <f t="shared" si="92"/>
        <v>#DIV/0!</v>
      </c>
      <c r="Z64" s="115">
        <f>SUMIFS(Tabla_Registro_de_movimientos_app.accdb[Importe_Gasto],Tabla_Registro_de_movimientos_app.accdb[Sucursal],Sucursal_Semanal!Z$5,Tabla_Registro_de_movimientos_app.accdb[Detalle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A64" s="187" t="e">
        <f t="shared" si="93"/>
        <v>#DIV/0!</v>
      </c>
      <c r="AB64">
        <f>SUMIFS(Tabla_Registro_de_movimientos_app.accdb[Importe_Gasto],Tabla_Registro_de_movimientos_app.accdb[Sucursal],Sucursal_Semanal!AB$5,Tabla_Registro_de_movimientos_app.accdb[Detalle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C64" s="187" t="e">
        <f t="shared" si="94"/>
        <v>#DIV/0!</v>
      </c>
      <c r="AD64" s="115">
        <f>SUMIFS(Tabla_Registro_de_movimientos_app.accdb[Importe_Gasto],Tabla_Registro_de_movimientos_app.accdb[Sucursal],Sucursal_Semanal!AD$5,Tabla_Registro_de_movimientos_app.accdb[Detalle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E64" s="187" t="e">
        <f t="shared" si="95"/>
        <v>#DIV/0!</v>
      </c>
      <c r="AF64" s="115">
        <f>SUMIFS(Tabla_Registro_de_movimientos_app.accdb[Importe_Gasto],Tabla_Registro_de_movimientos_app.accdb[Sucursal],Sucursal_Semanal!AF$5,Tabla_Registro_de_movimientos_app.accdb[Detalle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G64" s="187" t="e">
        <f t="shared" si="96"/>
        <v>#DIV/0!</v>
      </c>
      <c r="AH64">
        <f>SUMIFS(Tabla_Registro_de_movimientos_app.accdb[Importe_Gasto],Tabla_Registro_de_movimientos_app.accdb[Sucursal],Sucursal_Semanal!AH$5,Tabla_Registro_de_movimientos_app.accdb[Detalle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I64" s="187" t="e">
        <f t="shared" si="97"/>
        <v>#DIV/0!</v>
      </c>
      <c r="AJ64">
        <f>SUMIFS(Tabla_Registro_de_movimientos_app.accdb[Importe_Gasto],Tabla_Registro_de_movimientos_app.accdb[Sucursal],Sucursal_Semanal!AJ$5,Tabla_Registro_de_movimientos_app.accdb[Detalle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K64" s="187" t="e">
        <f t="shared" si="98"/>
        <v>#DIV/0!</v>
      </c>
      <c r="AM64" s="188">
        <f t="shared" si="99"/>
        <v>0</v>
      </c>
      <c r="AN64" s="189" t="e">
        <f t="shared" si="100"/>
        <v>#DIV/0!</v>
      </c>
    </row>
    <row r="65" spans="1:40" x14ac:dyDescent="0.25">
      <c r="A65" t="s">
        <v>71</v>
      </c>
      <c r="B65" s="115">
        <f>SUMIFS(Tabla_Registro_de_movimientos_app.accdb[Importe_Gasto],Tabla_Registro_de_movimientos_app.accdb[Sucursal],Sucursal_Semanal!$B$5,Tabla_Registro_de_movimientos_app.accdb[Detalle de movimiento],Sucursal_Semanal!A65,Tabla_Registro_de_movimientos_app.accdb[Fecha],"&gt;"&amp;Sucursal_Semanal!$B$4,Tabla_Registro_de_movimientos_app.accdb[Fecha],"&lt;="&amp;Sucursal_Semanal!$C$4)</f>
        <v>0</v>
      </c>
      <c r="C65" s="194" t="e">
        <f t="shared" si="81"/>
        <v>#DIV/0!</v>
      </c>
      <c r="D65" s="115">
        <f>SUMIFS(Tabla_Registro_de_movimientos_app.accdb[Importe_Gasto],Tabla_Registro_de_movimientos_app.accdb[Sucursal],Sucursal_Semanal!D$5,Tabla_Registro_de_movimientos_app.accdb[Detalle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E65" s="187" t="e">
        <f t="shared" si="82"/>
        <v>#DIV/0!</v>
      </c>
      <c r="F65" s="115">
        <f>SUMIFS(Tabla_Registro_de_movimientos_app.accdb[Importe_Gasto],Tabla_Registro_de_movimientos_app.accdb[Sucursal],Sucursal_Semanal!F$5,Tabla_Registro_de_movimientos_app.accdb[Detalle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G65" s="187" t="e">
        <f t="shared" si="83"/>
        <v>#DIV/0!</v>
      </c>
      <c r="H65" s="115">
        <f>SUMIFS(Tabla_Registro_de_movimientos_app.accdb[Importe_Gasto],Tabla_Registro_de_movimientos_app.accdb[Sucursal],Sucursal_Semanal!H$5,Tabla_Registro_de_movimientos_app.accdb[Detalle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I65" s="187" t="e">
        <f t="shared" si="84"/>
        <v>#DIV/0!</v>
      </c>
      <c r="J65">
        <f>SUMIFS(Tabla_Registro_de_movimientos_app.accdb[Importe_Gasto],Tabla_Registro_de_movimientos_app.accdb[Sucursal],Sucursal_Semanal!J$5,Tabla_Registro_de_movimientos_app.accdb[Detalle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K65" s="187" t="e">
        <f t="shared" si="85"/>
        <v>#DIV/0!</v>
      </c>
      <c r="L65" s="115">
        <f>SUMIFS(Tabla_Registro_de_movimientos_app.accdb[Importe_Gasto],Tabla_Registro_de_movimientos_app.accdb[Sucursal],Sucursal_Semanal!L$5,Tabla_Registro_de_movimientos_app.accdb[Detalle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M65" s="187" t="e">
        <f t="shared" si="86"/>
        <v>#DIV/0!</v>
      </c>
      <c r="N65" s="115">
        <f>SUMIFS(Tabla_Registro_de_movimientos_app.accdb[Importe_Gasto],Tabla_Registro_de_movimientos_app.accdb[Sucursal],Sucursal_Semanal!N$5,Tabla_Registro_de_movimientos_app.accdb[Detalle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O65" s="187" t="e">
        <f t="shared" si="87"/>
        <v>#DIV/0!</v>
      </c>
      <c r="P65" s="115">
        <f>SUMIFS(Tabla_Registro_de_movimientos_app.accdb[Importe_Gasto],Tabla_Registro_de_movimientos_app.accdb[Sucursal],Sucursal_Semanal!P$5,Tabla_Registro_de_movimientos_app.accdb[Detalle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Q65" s="187" t="e">
        <f t="shared" si="88"/>
        <v>#DIV/0!</v>
      </c>
      <c r="R65" s="115">
        <f>SUMIFS(Tabla_Registro_de_movimientos_app.accdb[Importe_Gasto],Tabla_Registro_de_movimientos_app.accdb[Sucursal],Sucursal_Semanal!R$5,Tabla_Registro_de_movimientos_app.accdb[Detalle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S65" s="187" t="e">
        <f t="shared" si="89"/>
        <v>#DIV/0!</v>
      </c>
      <c r="T65" s="115">
        <f>SUMIFS(Tabla_Registro_de_movimientos_app.accdb[Importe_Gasto],Tabla_Registro_de_movimientos_app.accdb[Sucursal],Sucursal_Semanal!T$5,Tabla_Registro_de_movimientos_app.accdb[Detalle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U65" s="187" t="e">
        <f t="shared" si="90"/>
        <v>#DIV/0!</v>
      </c>
      <c r="V65">
        <f>SUMIFS(Tabla_Registro_de_movimientos_app.accdb[Importe_Gasto],Tabla_Registro_de_movimientos_app.accdb[Sucursal],Sucursal_Semanal!V$5,Tabla_Registro_de_movimientos_app.accdb[Detalle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W65" s="187" t="e">
        <f t="shared" si="91"/>
        <v>#DIV/0!</v>
      </c>
      <c r="X65" s="115">
        <f>SUMIFS(Tabla_Registro_de_movimientos_app.accdb[Importe_Gasto],Tabla_Registro_de_movimientos_app.accdb[Sucursal],Sucursal_Semanal!X$5,Tabla_Registro_de_movimientos_app.accdb[Detalle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Y65" s="187" t="e">
        <f t="shared" si="92"/>
        <v>#DIV/0!</v>
      </c>
      <c r="Z65" s="115">
        <f>SUMIFS(Tabla_Registro_de_movimientos_app.accdb[Importe_Gasto],Tabla_Registro_de_movimientos_app.accdb[Sucursal],Sucursal_Semanal!Z$5,Tabla_Registro_de_movimientos_app.accdb[Detalle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A65" s="187" t="e">
        <f t="shared" si="93"/>
        <v>#DIV/0!</v>
      </c>
      <c r="AB65">
        <f>SUMIFS(Tabla_Registro_de_movimientos_app.accdb[Importe_Gasto],Tabla_Registro_de_movimientos_app.accdb[Sucursal],Sucursal_Semanal!AB$5,Tabla_Registro_de_movimientos_app.accdb[Detalle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C65" s="187" t="e">
        <f t="shared" si="94"/>
        <v>#DIV/0!</v>
      </c>
      <c r="AD65" s="115">
        <f>SUMIFS(Tabla_Registro_de_movimientos_app.accdb[Importe_Gasto],Tabla_Registro_de_movimientos_app.accdb[Sucursal],Sucursal_Semanal!AD$5,Tabla_Registro_de_movimientos_app.accdb[Detalle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E65" s="187" t="e">
        <f t="shared" si="95"/>
        <v>#DIV/0!</v>
      </c>
      <c r="AF65" s="115">
        <f>SUMIFS(Tabla_Registro_de_movimientos_app.accdb[Importe_Gasto],Tabla_Registro_de_movimientos_app.accdb[Sucursal],Sucursal_Semanal!AF$5,Tabla_Registro_de_movimientos_app.accdb[Detalle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G65" s="187" t="e">
        <f t="shared" si="96"/>
        <v>#DIV/0!</v>
      </c>
      <c r="AH65">
        <f>SUMIFS(Tabla_Registro_de_movimientos_app.accdb[Importe_Gasto],Tabla_Registro_de_movimientos_app.accdb[Sucursal],Sucursal_Semanal!AH$5,Tabla_Registro_de_movimientos_app.accdb[Detalle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I65" s="187" t="e">
        <f t="shared" si="97"/>
        <v>#DIV/0!</v>
      </c>
      <c r="AJ65">
        <f>SUMIFS(Tabla_Registro_de_movimientos_app.accdb[Importe_Gasto],Tabla_Registro_de_movimientos_app.accdb[Sucursal],Sucursal_Semanal!AJ$5,Tabla_Registro_de_movimientos_app.accdb[Detalle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K65" s="187" t="e">
        <f t="shared" si="98"/>
        <v>#DIV/0!</v>
      </c>
      <c r="AM65" s="188">
        <f t="shared" si="99"/>
        <v>0</v>
      </c>
      <c r="AN65" s="189" t="e">
        <f t="shared" si="100"/>
        <v>#DIV/0!</v>
      </c>
    </row>
    <row r="66" spans="1:40" x14ac:dyDescent="0.25">
      <c r="A66" t="s">
        <v>72</v>
      </c>
      <c r="B66" s="115">
        <f>SUMIFS(Tabla_Registro_de_movimientos_app.accdb[Importe_Gasto],Tabla_Registro_de_movimientos_app.accdb[Sucursal],Sucursal_Semanal!$B$5,Tabla_Registro_de_movimientos_app.accdb[Detalle de movimiento],Sucursal_Semanal!A66,Tabla_Registro_de_movimientos_app.accdb[Fecha],"&gt;"&amp;Sucursal_Semanal!$B$4,Tabla_Registro_de_movimientos_app.accdb[Fecha],"&lt;="&amp;Sucursal_Semanal!$C$4)</f>
        <v>0</v>
      </c>
      <c r="C66" s="194" t="e">
        <f t="shared" si="81"/>
        <v>#DIV/0!</v>
      </c>
      <c r="D66" s="115">
        <f>SUMIFS(Tabla_Registro_de_movimientos_app.accdb[Importe_Gasto],Tabla_Registro_de_movimientos_app.accdb[Sucursal],Sucursal_Semanal!D$5,Tabla_Registro_de_movimientos_app.accdb[Detalle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E66" s="187" t="e">
        <f t="shared" si="82"/>
        <v>#DIV/0!</v>
      </c>
      <c r="F66" s="115">
        <f>SUMIFS(Tabla_Registro_de_movimientos_app.accdb[Importe_Gasto],Tabla_Registro_de_movimientos_app.accdb[Sucursal],Sucursal_Semanal!F$5,Tabla_Registro_de_movimientos_app.accdb[Detalle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G66" s="187" t="e">
        <f t="shared" si="83"/>
        <v>#DIV/0!</v>
      </c>
      <c r="H66" s="115">
        <f>SUMIFS(Tabla_Registro_de_movimientos_app.accdb[Importe_Gasto],Tabla_Registro_de_movimientos_app.accdb[Sucursal],Sucursal_Semanal!H$5,Tabla_Registro_de_movimientos_app.accdb[Detalle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I66" s="187" t="e">
        <f t="shared" si="84"/>
        <v>#DIV/0!</v>
      </c>
      <c r="J66">
        <f>SUMIFS(Tabla_Registro_de_movimientos_app.accdb[Importe_Gasto],Tabla_Registro_de_movimientos_app.accdb[Sucursal],Sucursal_Semanal!J$5,Tabla_Registro_de_movimientos_app.accdb[Detalle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K66" s="187" t="e">
        <f t="shared" si="85"/>
        <v>#DIV/0!</v>
      </c>
      <c r="L66" s="115">
        <f>SUMIFS(Tabla_Registro_de_movimientos_app.accdb[Importe_Gasto],Tabla_Registro_de_movimientos_app.accdb[Sucursal],Sucursal_Semanal!L$5,Tabla_Registro_de_movimientos_app.accdb[Detalle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M66" s="187" t="e">
        <f t="shared" si="86"/>
        <v>#DIV/0!</v>
      </c>
      <c r="N66" s="115">
        <f>SUMIFS(Tabla_Registro_de_movimientos_app.accdb[Importe_Gasto],Tabla_Registro_de_movimientos_app.accdb[Sucursal],Sucursal_Semanal!N$5,Tabla_Registro_de_movimientos_app.accdb[Detalle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O66" s="187" t="e">
        <f t="shared" si="87"/>
        <v>#DIV/0!</v>
      </c>
      <c r="P66" s="115">
        <f>SUMIFS(Tabla_Registro_de_movimientos_app.accdb[Importe_Gasto],Tabla_Registro_de_movimientos_app.accdb[Sucursal],Sucursal_Semanal!P$5,Tabla_Registro_de_movimientos_app.accdb[Detalle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Q66" s="187" t="e">
        <f t="shared" si="88"/>
        <v>#DIV/0!</v>
      </c>
      <c r="R66" s="115">
        <f>SUMIFS(Tabla_Registro_de_movimientos_app.accdb[Importe_Gasto],Tabla_Registro_de_movimientos_app.accdb[Sucursal],Sucursal_Semanal!R$5,Tabla_Registro_de_movimientos_app.accdb[Detalle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S66" s="187" t="e">
        <f t="shared" si="89"/>
        <v>#DIV/0!</v>
      </c>
      <c r="T66" s="115">
        <f>SUMIFS(Tabla_Registro_de_movimientos_app.accdb[Importe_Gasto],Tabla_Registro_de_movimientos_app.accdb[Sucursal],Sucursal_Semanal!T$5,Tabla_Registro_de_movimientos_app.accdb[Detalle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U66" s="187" t="e">
        <f t="shared" si="90"/>
        <v>#DIV/0!</v>
      </c>
      <c r="V66">
        <f>SUMIFS(Tabla_Registro_de_movimientos_app.accdb[Importe_Gasto],Tabla_Registro_de_movimientos_app.accdb[Sucursal],Sucursal_Semanal!V$5,Tabla_Registro_de_movimientos_app.accdb[Detalle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W66" s="187" t="e">
        <f t="shared" si="91"/>
        <v>#DIV/0!</v>
      </c>
      <c r="X66" s="115">
        <f>SUMIFS(Tabla_Registro_de_movimientos_app.accdb[Importe_Gasto],Tabla_Registro_de_movimientos_app.accdb[Sucursal],Sucursal_Semanal!X$5,Tabla_Registro_de_movimientos_app.accdb[Detalle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Y66" s="187" t="e">
        <f t="shared" si="92"/>
        <v>#DIV/0!</v>
      </c>
      <c r="Z66" s="115">
        <f>SUMIFS(Tabla_Registro_de_movimientos_app.accdb[Importe_Gasto],Tabla_Registro_de_movimientos_app.accdb[Sucursal],Sucursal_Semanal!Z$5,Tabla_Registro_de_movimientos_app.accdb[Detalle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A66" s="187" t="e">
        <f t="shared" si="93"/>
        <v>#DIV/0!</v>
      </c>
      <c r="AB66">
        <f>SUMIFS(Tabla_Registro_de_movimientos_app.accdb[Importe_Gasto],Tabla_Registro_de_movimientos_app.accdb[Sucursal],Sucursal_Semanal!AB$5,Tabla_Registro_de_movimientos_app.accdb[Detalle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C66" s="187" t="e">
        <f t="shared" si="94"/>
        <v>#DIV/0!</v>
      </c>
      <c r="AD66" s="115">
        <f>SUMIFS(Tabla_Registro_de_movimientos_app.accdb[Importe_Gasto],Tabla_Registro_de_movimientos_app.accdb[Sucursal],Sucursal_Semanal!AD$5,Tabla_Registro_de_movimientos_app.accdb[Detalle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E66" s="187" t="e">
        <f t="shared" si="95"/>
        <v>#DIV/0!</v>
      </c>
      <c r="AF66" s="115">
        <f>SUMIFS(Tabla_Registro_de_movimientos_app.accdb[Importe_Gasto],Tabla_Registro_de_movimientos_app.accdb[Sucursal],Sucursal_Semanal!AF$5,Tabla_Registro_de_movimientos_app.accdb[Detalle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G66" s="187" t="e">
        <f t="shared" si="96"/>
        <v>#DIV/0!</v>
      </c>
      <c r="AH66">
        <f>SUMIFS(Tabla_Registro_de_movimientos_app.accdb[Importe_Gasto],Tabla_Registro_de_movimientos_app.accdb[Sucursal],Sucursal_Semanal!AH$5,Tabla_Registro_de_movimientos_app.accdb[Detalle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I66" s="187" t="e">
        <f t="shared" si="97"/>
        <v>#DIV/0!</v>
      </c>
      <c r="AJ66">
        <f>SUMIFS(Tabla_Registro_de_movimientos_app.accdb[Importe_Gasto],Tabla_Registro_de_movimientos_app.accdb[Sucursal],Sucursal_Semanal!AJ$5,Tabla_Registro_de_movimientos_app.accdb[Detalle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K66" s="187" t="e">
        <f t="shared" si="98"/>
        <v>#DIV/0!</v>
      </c>
      <c r="AM66" s="188">
        <f t="shared" si="99"/>
        <v>0</v>
      </c>
      <c r="AN66" s="189" t="e">
        <f t="shared" si="100"/>
        <v>#DIV/0!</v>
      </c>
    </row>
    <row r="67" spans="1:40" x14ac:dyDescent="0.25">
      <c r="A67" t="s">
        <v>73</v>
      </c>
      <c r="B67" s="115">
        <f>SUMIFS(Tabla_Registro_de_movimientos_app.accdb[Importe_Gasto],Tabla_Registro_de_movimientos_app.accdb[Sucursal],Sucursal_Semanal!$B$5,Tabla_Registro_de_movimientos_app.accdb[Detalle de movimiento],Sucursal_Semanal!A67,Tabla_Registro_de_movimientos_app.accdb[Fecha],"&gt;"&amp;Sucursal_Semanal!$B$4,Tabla_Registro_de_movimientos_app.accdb[Fecha],"&lt;="&amp;Sucursal_Semanal!$C$4)</f>
        <v>0</v>
      </c>
      <c r="C67" s="194" t="e">
        <f t="shared" si="81"/>
        <v>#DIV/0!</v>
      </c>
      <c r="D67" s="115">
        <f>SUMIFS(Tabla_Registro_de_movimientos_app.accdb[Importe_Gasto],Tabla_Registro_de_movimientos_app.accdb[Sucursal],Sucursal_Semanal!D$5,Tabla_Registro_de_movimientos_app.accdb[Detalle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E67" s="187" t="e">
        <f t="shared" si="82"/>
        <v>#DIV/0!</v>
      </c>
      <c r="F67" s="115">
        <f>SUMIFS(Tabla_Registro_de_movimientos_app.accdb[Importe_Gasto],Tabla_Registro_de_movimientos_app.accdb[Sucursal],Sucursal_Semanal!F$5,Tabla_Registro_de_movimientos_app.accdb[Detalle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G67" s="187" t="e">
        <f t="shared" si="83"/>
        <v>#DIV/0!</v>
      </c>
      <c r="H67" s="115">
        <f>SUMIFS(Tabla_Registro_de_movimientos_app.accdb[Importe_Gasto],Tabla_Registro_de_movimientos_app.accdb[Sucursal],Sucursal_Semanal!H$5,Tabla_Registro_de_movimientos_app.accdb[Detalle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I67" s="187" t="e">
        <f t="shared" si="84"/>
        <v>#DIV/0!</v>
      </c>
      <c r="J67">
        <f>SUMIFS(Tabla_Registro_de_movimientos_app.accdb[Importe_Gasto],Tabla_Registro_de_movimientos_app.accdb[Sucursal],Sucursal_Semanal!J$5,Tabla_Registro_de_movimientos_app.accdb[Detalle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K67" s="187" t="e">
        <f t="shared" si="85"/>
        <v>#DIV/0!</v>
      </c>
      <c r="L67" s="115">
        <f>SUMIFS(Tabla_Registro_de_movimientos_app.accdb[Importe_Gasto],Tabla_Registro_de_movimientos_app.accdb[Sucursal],Sucursal_Semanal!L$5,Tabla_Registro_de_movimientos_app.accdb[Detalle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M67" s="187" t="e">
        <f t="shared" si="86"/>
        <v>#DIV/0!</v>
      </c>
      <c r="N67" s="115">
        <f>SUMIFS(Tabla_Registro_de_movimientos_app.accdb[Importe_Gasto],Tabla_Registro_de_movimientos_app.accdb[Sucursal],Sucursal_Semanal!N$5,Tabla_Registro_de_movimientos_app.accdb[Detalle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O67" s="187" t="e">
        <f t="shared" si="87"/>
        <v>#DIV/0!</v>
      </c>
      <c r="P67" s="115">
        <f>SUMIFS(Tabla_Registro_de_movimientos_app.accdb[Importe_Gasto],Tabla_Registro_de_movimientos_app.accdb[Sucursal],Sucursal_Semanal!P$5,Tabla_Registro_de_movimientos_app.accdb[Detalle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Q67" s="187" t="e">
        <f t="shared" si="88"/>
        <v>#DIV/0!</v>
      </c>
      <c r="R67" s="115">
        <f>SUMIFS(Tabla_Registro_de_movimientos_app.accdb[Importe_Gasto],Tabla_Registro_de_movimientos_app.accdb[Sucursal],Sucursal_Semanal!R$5,Tabla_Registro_de_movimientos_app.accdb[Detalle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S67" s="187" t="e">
        <f t="shared" si="89"/>
        <v>#DIV/0!</v>
      </c>
      <c r="T67" s="115">
        <f>SUMIFS(Tabla_Registro_de_movimientos_app.accdb[Importe_Gasto],Tabla_Registro_de_movimientos_app.accdb[Sucursal],Sucursal_Semanal!T$5,Tabla_Registro_de_movimientos_app.accdb[Detalle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U67" s="187" t="e">
        <f t="shared" si="90"/>
        <v>#DIV/0!</v>
      </c>
      <c r="V67">
        <f>SUMIFS(Tabla_Registro_de_movimientos_app.accdb[Importe_Gasto],Tabla_Registro_de_movimientos_app.accdb[Sucursal],Sucursal_Semanal!V$5,Tabla_Registro_de_movimientos_app.accdb[Detalle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W67" s="187" t="e">
        <f t="shared" si="91"/>
        <v>#DIV/0!</v>
      </c>
      <c r="X67" s="115">
        <f>SUMIFS(Tabla_Registro_de_movimientos_app.accdb[Importe_Gasto],Tabla_Registro_de_movimientos_app.accdb[Sucursal],Sucursal_Semanal!X$5,Tabla_Registro_de_movimientos_app.accdb[Detalle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Y67" s="187" t="e">
        <f t="shared" si="92"/>
        <v>#DIV/0!</v>
      </c>
      <c r="Z67" s="115">
        <f>SUMIFS(Tabla_Registro_de_movimientos_app.accdb[Importe_Gasto],Tabla_Registro_de_movimientos_app.accdb[Sucursal],Sucursal_Semanal!Z$5,Tabla_Registro_de_movimientos_app.accdb[Detalle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A67" s="187" t="e">
        <f t="shared" si="93"/>
        <v>#DIV/0!</v>
      </c>
      <c r="AB67">
        <f>SUMIFS(Tabla_Registro_de_movimientos_app.accdb[Importe_Gasto],Tabla_Registro_de_movimientos_app.accdb[Sucursal],Sucursal_Semanal!AB$5,Tabla_Registro_de_movimientos_app.accdb[Detalle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C67" s="187" t="e">
        <f t="shared" si="94"/>
        <v>#DIV/0!</v>
      </c>
      <c r="AD67" s="115">
        <f>SUMIFS(Tabla_Registro_de_movimientos_app.accdb[Importe_Gasto],Tabla_Registro_de_movimientos_app.accdb[Sucursal],Sucursal_Semanal!AD$5,Tabla_Registro_de_movimientos_app.accdb[Detalle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E67" s="187" t="e">
        <f t="shared" si="95"/>
        <v>#DIV/0!</v>
      </c>
      <c r="AF67" s="115">
        <f>SUMIFS(Tabla_Registro_de_movimientos_app.accdb[Importe_Gasto],Tabla_Registro_de_movimientos_app.accdb[Sucursal],Sucursal_Semanal!AF$5,Tabla_Registro_de_movimientos_app.accdb[Detalle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G67" s="187" t="e">
        <f t="shared" si="96"/>
        <v>#DIV/0!</v>
      </c>
      <c r="AH67">
        <f>SUMIFS(Tabla_Registro_de_movimientos_app.accdb[Importe_Gasto],Tabla_Registro_de_movimientos_app.accdb[Sucursal],Sucursal_Semanal!AH$5,Tabla_Registro_de_movimientos_app.accdb[Detalle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I67" s="187" t="e">
        <f t="shared" si="97"/>
        <v>#DIV/0!</v>
      </c>
      <c r="AJ67">
        <f>SUMIFS(Tabla_Registro_de_movimientos_app.accdb[Importe_Gasto],Tabla_Registro_de_movimientos_app.accdb[Sucursal],Sucursal_Semanal!AJ$5,Tabla_Registro_de_movimientos_app.accdb[Detalle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K67" s="187" t="e">
        <f t="shared" si="98"/>
        <v>#DIV/0!</v>
      </c>
      <c r="AM67" s="188">
        <f t="shared" si="99"/>
        <v>0</v>
      </c>
      <c r="AN67" s="189" t="e">
        <f t="shared" si="100"/>
        <v>#DIV/0!</v>
      </c>
    </row>
    <row r="68" spans="1:40" x14ac:dyDescent="0.25">
      <c r="A68" t="s">
        <v>74</v>
      </c>
      <c r="B68" s="115">
        <f>SUMIFS(Tabla_Registro_de_movimientos_app.accdb[Importe_Gasto],Tabla_Registro_de_movimientos_app.accdb[Sucursal],Sucursal_Semanal!$B$5,Tabla_Registro_de_movimientos_app.accdb[Detalle de movimiento],Sucursal_Semanal!A68,Tabla_Registro_de_movimientos_app.accdb[Fecha],"&gt;"&amp;Sucursal_Semanal!$B$4,Tabla_Registro_de_movimientos_app.accdb[Fecha],"&lt;="&amp;Sucursal_Semanal!$C$4)</f>
        <v>0</v>
      </c>
      <c r="C68" s="194" t="e">
        <f t="shared" si="81"/>
        <v>#DIV/0!</v>
      </c>
      <c r="D68" s="115">
        <f>SUMIFS(Tabla_Registro_de_movimientos_app.accdb[Importe_Gasto],Tabla_Registro_de_movimientos_app.accdb[Sucursal],Sucursal_Semanal!D$5,Tabla_Registro_de_movimientos_app.accdb[Detalle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E68" s="187" t="e">
        <f t="shared" si="82"/>
        <v>#DIV/0!</v>
      </c>
      <c r="F68" s="115">
        <f>SUMIFS(Tabla_Registro_de_movimientos_app.accdb[Importe_Gasto],Tabla_Registro_de_movimientos_app.accdb[Sucursal],Sucursal_Semanal!F$5,Tabla_Registro_de_movimientos_app.accdb[Detalle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G68" s="187" t="e">
        <f t="shared" si="83"/>
        <v>#DIV/0!</v>
      </c>
      <c r="H68" s="115">
        <f>SUMIFS(Tabla_Registro_de_movimientos_app.accdb[Importe_Gasto],Tabla_Registro_de_movimientos_app.accdb[Sucursal],Sucursal_Semanal!H$5,Tabla_Registro_de_movimientos_app.accdb[Detalle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I68" s="187" t="e">
        <f t="shared" si="84"/>
        <v>#DIV/0!</v>
      </c>
      <c r="J68">
        <f>SUMIFS(Tabla_Registro_de_movimientos_app.accdb[Importe_Gasto],Tabla_Registro_de_movimientos_app.accdb[Sucursal],Sucursal_Semanal!J$5,Tabla_Registro_de_movimientos_app.accdb[Detalle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K68" s="187" t="e">
        <f t="shared" si="85"/>
        <v>#DIV/0!</v>
      </c>
      <c r="L68" s="115">
        <f>SUMIFS(Tabla_Registro_de_movimientos_app.accdb[Importe_Gasto],Tabla_Registro_de_movimientos_app.accdb[Sucursal],Sucursal_Semanal!L$5,Tabla_Registro_de_movimientos_app.accdb[Detalle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M68" s="187" t="e">
        <f t="shared" si="86"/>
        <v>#DIV/0!</v>
      </c>
      <c r="N68" s="115">
        <f>SUMIFS(Tabla_Registro_de_movimientos_app.accdb[Importe_Gasto],Tabla_Registro_de_movimientos_app.accdb[Sucursal],Sucursal_Semanal!N$5,Tabla_Registro_de_movimientos_app.accdb[Detalle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O68" s="187" t="e">
        <f t="shared" si="87"/>
        <v>#DIV/0!</v>
      </c>
      <c r="P68" s="115">
        <f>SUMIFS(Tabla_Registro_de_movimientos_app.accdb[Importe_Gasto],Tabla_Registro_de_movimientos_app.accdb[Sucursal],Sucursal_Semanal!P$5,Tabla_Registro_de_movimientos_app.accdb[Detalle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Q68" s="187" t="e">
        <f t="shared" si="88"/>
        <v>#DIV/0!</v>
      </c>
      <c r="R68" s="115">
        <f>SUMIFS(Tabla_Registro_de_movimientos_app.accdb[Importe_Gasto],Tabla_Registro_de_movimientos_app.accdb[Sucursal],Sucursal_Semanal!R$5,Tabla_Registro_de_movimientos_app.accdb[Detalle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S68" s="187" t="e">
        <f t="shared" si="89"/>
        <v>#DIV/0!</v>
      </c>
      <c r="T68" s="115">
        <f>SUMIFS(Tabla_Registro_de_movimientos_app.accdb[Importe_Gasto],Tabla_Registro_de_movimientos_app.accdb[Sucursal],Sucursal_Semanal!T$5,Tabla_Registro_de_movimientos_app.accdb[Detalle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U68" s="187" t="e">
        <f t="shared" si="90"/>
        <v>#DIV/0!</v>
      </c>
      <c r="V68">
        <f>SUMIFS(Tabla_Registro_de_movimientos_app.accdb[Importe_Gasto],Tabla_Registro_de_movimientos_app.accdb[Sucursal],Sucursal_Semanal!V$5,Tabla_Registro_de_movimientos_app.accdb[Detalle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W68" s="187" t="e">
        <f t="shared" si="91"/>
        <v>#DIV/0!</v>
      </c>
      <c r="X68" s="115">
        <f>SUMIFS(Tabla_Registro_de_movimientos_app.accdb[Importe_Gasto],Tabla_Registro_de_movimientos_app.accdb[Sucursal],Sucursal_Semanal!X$5,Tabla_Registro_de_movimientos_app.accdb[Detalle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Y68" s="187" t="e">
        <f t="shared" si="92"/>
        <v>#DIV/0!</v>
      </c>
      <c r="Z68" s="115">
        <f>SUMIFS(Tabla_Registro_de_movimientos_app.accdb[Importe_Gasto],Tabla_Registro_de_movimientos_app.accdb[Sucursal],Sucursal_Semanal!Z$5,Tabla_Registro_de_movimientos_app.accdb[Detalle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A68" s="187" t="e">
        <f t="shared" si="93"/>
        <v>#DIV/0!</v>
      </c>
      <c r="AB68">
        <f>SUMIFS(Tabla_Registro_de_movimientos_app.accdb[Importe_Gasto],Tabla_Registro_de_movimientos_app.accdb[Sucursal],Sucursal_Semanal!AB$5,Tabla_Registro_de_movimientos_app.accdb[Detalle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C68" s="187" t="e">
        <f t="shared" si="94"/>
        <v>#DIV/0!</v>
      </c>
      <c r="AD68" s="115">
        <f>SUMIFS(Tabla_Registro_de_movimientos_app.accdb[Importe_Gasto],Tabla_Registro_de_movimientos_app.accdb[Sucursal],Sucursal_Semanal!AD$5,Tabla_Registro_de_movimientos_app.accdb[Detalle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E68" s="187" t="e">
        <f t="shared" si="95"/>
        <v>#DIV/0!</v>
      </c>
      <c r="AF68" s="115">
        <f>SUMIFS(Tabla_Registro_de_movimientos_app.accdb[Importe_Gasto],Tabla_Registro_de_movimientos_app.accdb[Sucursal],Sucursal_Semanal!AF$5,Tabla_Registro_de_movimientos_app.accdb[Detalle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G68" s="187" t="e">
        <f t="shared" si="96"/>
        <v>#DIV/0!</v>
      </c>
      <c r="AH68">
        <f>SUMIFS(Tabla_Registro_de_movimientos_app.accdb[Importe_Gasto],Tabla_Registro_de_movimientos_app.accdb[Sucursal],Sucursal_Semanal!AH$5,Tabla_Registro_de_movimientos_app.accdb[Detalle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I68" s="187" t="e">
        <f t="shared" si="97"/>
        <v>#DIV/0!</v>
      </c>
      <c r="AJ68">
        <f>SUMIFS(Tabla_Registro_de_movimientos_app.accdb[Importe_Gasto],Tabla_Registro_de_movimientos_app.accdb[Sucursal],Sucursal_Semanal!AJ$5,Tabla_Registro_de_movimientos_app.accdb[Detalle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K68" s="187" t="e">
        <f t="shared" si="98"/>
        <v>#DIV/0!</v>
      </c>
      <c r="AM68" s="188">
        <f t="shared" si="99"/>
        <v>0</v>
      </c>
      <c r="AN68" s="189" t="e">
        <f t="shared" si="100"/>
        <v>#DIV/0!</v>
      </c>
    </row>
    <row r="69" spans="1:40" ht="15.75" thickBot="1" x14ac:dyDescent="0.3">
      <c r="A69" s="8" t="s">
        <v>75</v>
      </c>
      <c r="B69" s="8">
        <f>SUM(B56:B68)</f>
        <v>0</v>
      </c>
      <c r="C69" s="208" t="e">
        <f>+B69/B13</f>
        <v>#DIV/0!</v>
      </c>
      <c r="D69" s="8">
        <f>SUM(D56:D68)</f>
        <v>0</v>
      </c>
      <c r="E69" s="8"/>
      <c r="F69" s="208">
        <f>SUM(F56:F68)</f>
        <v>0</v>
      </c>
      <c r="G69" s="8"/>
      <c r="H69" s="208">
        <f>SUM(H56:H68)</f>
        <v>0</v>
      </c>
      <c r="I69" s="8"/>
      <c r="J69" s="8">
        <f>SUM(J56:J68)</f>
        <v>0</v>
      </c>
      <c r="K69" s="8"/>
      <c r="L69" s="208">
        <f>SUM(L56:L68)</f>
        <v>0</v>
      </c>
      <c r="M69" s="8"/>
      <c r="N69" s="8">
        <f>SUM(N56:N68)</f>
        <v>0</v>
      </c>
      <c r="O69" s="8"/>
      <c r="P69" s="8">
        <f>SUM(P56:P68)</f>
        <v>0</v>
      </c>
      <c r="Q69" s="8"/>
      <c r="R69" s="8">
        <f>SUM(R56:R68)</f>
        <v>0</v>
      </c>
      <c r="S69" s="8"/>
      <c r="T69" s="8">
        <f>SUM(T56:T68)</f>
        <v>0</v>
      </c>
      <c r="U69" s="8"/>
      <c r="V69" s="8">
        <f>SUM(V56:V68)</f>
        <v>0</v>
      </c>
      <c r="W69" s="8"/>
      <c r="X69" s="8">
        <f>SUM(X56:X68)</f>
        <v>0</v>
      </c>
      <c r="Y69" s="8"/>
      <c r="Z69" s="8">
        <f>SUM(Z56:Z68)</f>
        <v>0</v>
      </c>
      <c r="AA69" s="8"/>
      <c r="AB69" s="8">
        <f>SUM(AB56:AB68)</f>
        <v>0</v>
      </c>
      <c r="AC69" s="8"/>
      <c r="AD69" s="8">
        <f>SUM(AD56:AD68)</f>
        <v>0</v>
      </c>
      <c r="AE69" s="8"/>
      <c r="AF69" s="8">
        <f>SUM(AF56:AF68)</f>
        <v>0</v>
      </c>
      <c r="AG69" s="8"/>
      <c r="AH69" s="8">
        <f>SUM(AH56:AH68)</f>
        <v>0</v>
      </c>
      <c r="AI69" s="8"/>
      <c r="AJ69" s="8">
        <f>SUM(AJ56:AJ68)</f>
        <v>0</v>
      </c>
      <c r="AK69" s="8"/>
      <c r="AM69" s="201">
        <f>SUM(AM56:AM68)</f>
        <v>0</v>
      </c>
      <c r="AN69" s="197" t="e">
        <f>AM69/AM13</f>
        <v>#DIV/0!</v>
      </c>
    </row>
    <row r="70" spans="1:40" ht="15.75" thickTop="1" x14ac:dyDescent="0.25"/>
    <row r="71" spans="1:40" x14ac:dyDescent="0.25">
      <c r="A71" t="s">
        <v>76</v>
      </c>
      <c r="B71" s="6">
        <f>B26-B33-B53-B69</f>
        <v>0</v>
      </c>
      <c r="C71" s="10" t="e">
        <f>+B71/B13</f>
        <v>#DIV/0!</v>
      </c>
      <c r="D71" s="6">
        <f>D26-D33-D53-D69</f>
        <v>0</v>
      </c>
      <c r="F71" s="6">
        <f>F26-F33-F53-F69</f>
        <v>0</v>
      </c>
      <c r="H71" s="6">
        <f>H26-H33-H53-H69</f>
        <v>0</v>
      </c>
      <c r="J71" s="6">
        <f>J26-J33-J53-J69</f>
        <v>0</v>
      </c>
      <c r="L71" s="6">
        <f>L26-L33-L53-L69</f>
        <v>0</v>
      </c>
      <c r="N71" s="6">
        <f>N26-N33-N53-N69</f>
        <v>0</v>
      </c>
      <c r="P71" s="6">
        <f>P26-P33-P53-P69</f>
        <v>0</v>
      </c>
      <c r="R71" s="6">
        <f>R26-R33-R53-R69</f>
        <v>0</v>
      </c>
      <c r="T71" s="6">
        <f>T26-T33-T53-T69</f>
        <v>0</v>
      </c>
      <c r="V71" s="6">
        <f>V26-V33-V53-V69</f>
        <v>0</v>
      </c>
      <c r="X71" s="6">
        <f>X26-X33-X53-X69</f>
        <v>0</v>
      </c>
      <c r="Z71" s="6">
        <f>Z26-Z33-Z53-Z69</f>
        <v>0</v>
      </c>
      <c r="AB71" s="6">
        <f>AB26-AB33-AB53-AB69</f>
        <v>0</v>
      </c>
      <c r="AD71" s="6">
        <f>AD26-AD33-AD53-AD69</f>
        <v>0</v>
      </c>
      <c r="AF71" s="6">
        <f>AF26-AF33-AF53-AF69</f>
        <v>0</v>
      </c>
      <c r="AH71" s="6">
        <f>AH26-AH33-AH53-AH69</f>
        <v>0</v>
      </c>
      <c r="AJ71" s="6">
        <f>AJ26-AJ33-AJ53-AJ69</f>
        <v>0</v>
      </c>
      <c r="AM71" s="203">
        <f>SUM(B71,D71,F71,H71,J71,L71,N71,P71,R71,T71,V71,X71,Z71,AB71,AD71,AF71,AH71,AJ71)</f>
        <v>0</v>
      </c>
      <c r="AN71" s="197" t="e">
        <f>AM71/AM13</f>
        <v>#DIV/0!</v>
      </c>
    </row>
    <row r="74" spans="1:40" x14ac:dyDescent="0.25">
      <c r="A74" t="s">
        <v>77</v>
      </c>
      <c r="B74" s="115" t="e">
        <f>Matriz!$C$49*Sucursal_Semanal!C13</f>
        <v>#DIV/0!</v>
      </c>
      <c r="C74" s="213" t="e">
        <f>B74/B$13</f>
        <v>#DIV/0!</v>
      </c>
      <c r="D74" s="115" t="e">
        <f>Matriz!$C$49*Sucursal_Semanal!E13</f>
        <v>#DIV/0!</v>
      </c>
      <c r="E74" s="213" t="e">
        <f>D74/D$13</f>
        <v>#DIV/0!</v>
      </c>
      <c r="F74" s="115" t="e">
        <f>Matriz!$C$49*Sucursal_Semanal!G13</f>
        <v>#DIV/0!</v>
      </c>
      <c r="G74" s="213" t="e">
        <f>F74/F$13</f>
        <v>#DIV/0!</v>
      </c>
      <c r="H74" s="115" t="e">
        <f>Matriz!$C$49*Sucursal_Semanal!I13</f>
        <v>#DIV/0!</v>
      </c>
      <c r="I74" s="213" t="e">
        <f>H74/H$13</f>
        <v>#DIV/0!</v>
      </c>
      <c r="J74" s="115" t="e">
        <f>Matriz!$C$49*Sucursal_Semanal!K13</f>
        <v>#DIV/0!</v>
      </c>
      <c r="K74" s="213" t="e">
        <f>J74/J$13</f>
        <v>#DIV/0!</v>
      </c>
      <c r="L74" s="115" t="e">
        <f>Matriz!$C$49*Sucursal_Semanal!M13</f>
        <v>#DIV/0!</v>
      </c>
      <c r="M74" s="213" t="e">
        <f>L74/L$13</f>
        <v>#DIV/0!</v>
      </c>
      <c r="N74" s="115" t="e">
        <f>Matriz!$C$49*Sucursal_Semanal!O13</f>
        <v>#DIV/0!</v>
      </c>
      <c r="O74" s="213" t="e">
        <f>N74/N$13</f>
        <v>#DIV/0!</v>
      </c>
      <c r="P74" s="115" t="e">
        <f>Matriz!$C$49*Sucursal_Semanal!Q13</f>
        <v>#DIV/0!</v>
      </c>
      <c r="Q74" s="213" t="e">
        <f>P74/P$13</f>
        <v>#DIV/0!</v>
      </c>
      <c r="R74" s="115" t="e">
        <f>Matriz!$C$49*Sucursal_Semanal!S13</f>
        <v>#DIV/0!</v>
      </c>
      <c r="S74" s="213" t="e">
        <f>R74/R$13</f>
        <v>#DIV/0!</v>
      </c>
      <c r="T74" s="115" t="e">
        <f>Matriz!$C$49*Sucursal_Semanal!U13</f>
        <v>#DIV/0!</v>
      </c>
      <c r="U74" s="213" t="e">
        <f>T74/T$13</f>
        <v>#DIV/0!</v>
      </c>
      <c r="V74" s="115" t="e">
        <f>Matriz!$C$49*Sucursal_Semanal!W13</f>
        <v>#DIV/0!</v>
      </c>
      <c r="W74" s="213" t="e">
        <f>V74/V$13</f>
        <v>#DIV/0!</v>
      </c>
      <c r="X74" s="115" t="e">
        <f>Matriz!$C$49*Sucursal_Semanal!Y13</f>
        <v>#DIV/0!</v>
      </c>
      <c r="Y74" s="213" t="e">
        <f>X74/X$13</f>
        <v>#DIV/0!</v>
      </c>
      <c r="Z74" s="115" t="e">
        <f>Matriz!$C$49*Sucursal_Semanal!AA13</f>
        <v>#DIV/0!</v>
      </c>
      <c r="AA74" s="213" t="e">
        <f>Z74/Z$13</f>
        <v>#DIV/0!</v>
      </c>
      <c r="AB74" s="115" t="e">
        <f>Matriz!$C$49*Sucursal_Semanal!AC13</f>
        <v>#DIV/0!</v>
      </c>
      <c r="AC74" s="213" t="e">
        <f>AB74/AB$13</f>
        <v>#DIV/0!</v>
      </c>
      <c r="AD74" s="115" t="e">
        <f>Matriz!$C$49*Sucursal_Semanal!AE13</f>
        <v>#DIV/0!</v>
      </c>
      <c r="AE74" s="213" t="e">
        <f>AD74/AD$13</f>
        <v>#DIV/0!</v>
      </c>
      <c r="AF74" s="115" t="e">
        <f>Matriz!$C$49*Sucursal_Semanal!AG13</f>
        <v>#DIV/0!</v>
      </c>
      <c r="AG74" s="213" t="e">
        <f>AF74/AF$13</f>
        <v>#DIV/0!</v>
      </c>
      <c r="AH74" s="204" t="e">
        <f>Matriz!$C$49*Sucursal_Semanal!AI13</f>
        <v>#DIV/0!</v>
      </c>
      <c r="AI74" s="194" t="e">
        <f>AH74/AH$13</f>
        <v>#DIV/0!</v>
      </c>
      <c r="AJ74" s="204" t="e">
        <f>Matriz!$C$49*Sucursal_Semanal!AK13</f>
        <v>#DIV/0!</v>
      </c>
      <c r="AK74" s="194" t="e">
        <f>AJ74/AJ$13</f>
        <v>#DIV/0!</v>
      </c>
      <c r="AM74" s="188" t="e">
        <f>SUM(B74,D74,F74,H74,J74,L74,N74,P74,R74,T74,V74,X74,Z74,AB74,AD74,AF74,AH74,AJ74)</f>
        <v>#DIV/0!</v>
      </c>
      <c r="AN74" s="206" t="e">
        <f>AM74/$AM$76</f>
        <v>#DIV/0!</v>
      </c>
    </row>
    <row r="75" spans="1:40" x14ac:dyDescent="0.25">
      <c r="A75" t="s">
        <v>78</v>
      </c>
      <c r="C75" s="10" t="e">
        <f>B75/$B$13</f>
        <v>#DIV/0!</v>
      </c>
      <c r="E75" s="10" t="e">
        <f>D75/D$13</f>
        <v>#DIV/0!</v>
      </c>
      <c r="G75" s="10" t="e">
        <f>F75/F$13</f>
        <v>#DIV/0!</v>
      </c>
      <c r="I75" s="10" t="e">
        <f>H75/H$13</f>
        <v>#DIV/0!</v>
      </c>
      <c r="K75" s="10" t="e">
        <f>J75/J$13</f>
        <v>#DIV/0!</v>
      </c>
      <c r="M75" s="10" t="e">
        <f>L75/L$13</f>
        <v>#DIV/0!</v>
      </c>
      <c r="O75" s="10" t="e">
        <f>N75/N$13</f>
        <v>#DIV/0!</v>
      </c>
      <c r="Q75" s="10" t="e">
        <f>P75/P$13</f>
        <v>#DIV/0!</v>
      </c>
      <c r="S75" s="10" t="e">
        <f>R75/R$13</f>
        <v>#DIV/0!</v>
      </c>
      <c r="U75" s="10" t="e">
        <f>T75/T$13</f>
        <v>#DIV/0!</v>
      </c>
      <c r="W75" s="10" t="e">
        <f>V75/V$13</f>
        <v>#DIV/0!</v>
      </c>
      <c r="Y75" s="10" t="e">
        <f>X75/X$13</f>
        <v>#DIV/0!</v>
      </c>
      <c r="AA75" s="10" t="e">
        <f>Z75/Z$13</f>
        <v>#DIV/0!</v>
      </c>
      <c r="AC75" s="10" t="e">
        <f>AB75/AB$13</f>
        <v>#DIV/0!</v>
      </c>
      <c r="AE75" s="10" t="e">
        <f>AD75/AD$13</f>
        <v>#DIV/0!</v>
      </c>
      <c r="AG75" s="10" t="e">
        <f>AF75/AF$13</f>
        <v>#DIV/0!</v>
      </c>
      <c r="AI75" s="194" t="e">
        <f>AH75/AH$13</f>
        <v>#DIV/0!</v>
      </c>
      <c r="AK75" s="194" t="e">
        <f>AJ75/AJ$13</f>
        <v>#DIV/0!</v>
      </c>
      <c r="AM75" s="188">
        <f>SUM(B75,D75,F75,H75,J75,L75,N75,P75,R75,T75,V75,X75,Z75,AB75,AD75,AF75,AH75,AJ75)</f>
        <v>0</v>
      </c>
      <c r="AN75" s="206" t="e">
        <f>AM75/$AM$76</f>
        <v>#DIV/0!</v>
      </c>
    </row>
    <row r="76" spans="1:40" x14ac:dyDescent="0.25">
      <c r="A76" t="s">
        <v>79</v>
      </c>
      <c r="B76" s="115" t="e">
        <f>SUM(B74:B75)</f>
        <v>#DIV/0!</v>
      </c>
      <c r="D76" s="115" t="e">
        <f>SUM(D74:D75)</f>
        <v>#DIV/0!</v>
      </c>
      <c r="F76" s="115" t="e">
        <f>SUM(F74:F75)</f>
        <v>#DIV/0!</v>
      </c>
      <c r="H76" s="115" t="e">
        <f>SUM(H74:H75)</f>
        <v>#DIV/0!</v>
      </c>
      <c r="J76" s="115" t="e">
        <f>SUM(J74:J75)</f>
        <v>#DIV/0!</v>
      </c>
      <c r="L76" s="115" t="e">
        <f>SUM(L74:L75)</f>
        <v>#DIV/0!</v>
      </c>
      <c r="N76" s="115" t="e">
        <f>SUM(N74:N75)</f>
        <v>#DIV/0!</v>
      </c>
      <c r="P76" s="115" t="e">
        <f>SUM(P74:P75)</f>
        <v>#DIV/0!</v>
      </c>
      <c r="R76" s="115" t="e">
        <f>SUM(R74:R75)</f>
        <v>#DIV/0!</v>
      </c>
      <c r="T76" s="115" t="e">
        <f>SUM(T74:T75)</f>
        <v>#DIV/0!</v>
      </c>
      <c r="V76" s="115" t="e">
        <f>SUM(V74:V75)</f>
        <v>#DIV/0!</v>
      </c>
      <c r="X76" s="115" t="e">
        <f>SUM(X74:X75)</f>
        <v>#DIV/0!</v>
      </c>
      <c r="Z76" s="115" t="e">
        <f>SUM(Z74:Z75)</f>
        <v>#DIV/0!</v>
      </c>
      <c r="AB76" s="115" t="e">
        <f>SUM(AB74:AB75)</f>
        <v>#DIV/0!</v>
      </c>
      <c r="AD76" s="115" t="e">
        <f>SUM(AD74:AD75)</f>
        <v>#DIV/0!</v>
      </c>
      <c r="AF76" s="115" t="e">
        <f>SUM(AF74:AF75)</f>
        <v>#DIV/0!</v>
      </c>
      <c r="AH76" s="204" t="e">
        <f>SUM(AH74:AH75)</f>
        <v>#DIV/0!</v>
      </c>
      <c r="AJ76" s="204" t="e">
        <f>SUM(AJ74:AJ75)</f>
        <v>#DIV/0!</v>
      </c>
      <c r="AM76" s="201" t="e">
        <f>SUM(AM74:AM75)</f>
        <v>#DIV/0!</v>
      </c>
      <c r="AN76" s="197" t="e">
        <f>AM76/AM13</f>
        <v>#DIV/0!</v>
      </c>
    </row>
    <row r="78" spans="1:40" x14ac:dyDescent="0.25">
      <c r="A78" t="s">
        <v>80</v>
      </c>
      <c r="B78" s="168" t="e">
        <f>+B71-B76</f>
        <v>#DIV/0!</v>
      </c>
      <c r="D78" s="168" t="e">
        <f>+D71-D76</f>
        <v>#DIV/0!</v>
      </c>
      <c r="F78" s="168" t="e">
        <f>+F71-F76</f>
        <v>#DIV/0!</v>
      </c>
      <c r="H78" s="168" t="e">
        <f>+H71-H76</f>
        <v>#DIV/0!</v>
      </c>
      <c r="J78" s="168" t="e">
        <f>+J71-J76</f>
        <v>#DIV/0!</v>
      </c>
      <c r="L78" s="168" t="e">
        <f>+L71-L76</f>
        <v>#DIV/0!</v>
      </c>
      <c r="N78" s="168" t="e">
        <f>+N71-N76</f>
        <v>#DIV/0!</v>
      </c>
      <c r="P78" s="168" t="e">
        <f>+P71-P76</f>
        <v>#DIV/0!</v>
      </c>
      <c r="R78" s="168" t="e">
        <f>+R71-R76</f>
        <v>#DIV/0!</v>
      </c>
      <c r="T78" s="168" t="e">
        <f>+T71-T76</f>
        <v>#DIV/0!</v>
      </c>
      <c r="V78" s="168" t="e">
        <f>+V71-V76</f>
        <v>#DIV/0!</v>
      </c>
      <c r="X78" s="168" t="e">
        <f>+X71-X76</f>
        <v>#DIV/0!</v>
      </c>
      <c r="Z78" s="168" t="e">
        <f>+Z71-Z76</f>
        <v>#DIV/0!</v>
      </c>
      <c r="AB78" s="168" t="e">
        <f>+AB71-AB76</f>
        <v>#DIV/0!</v>
      </c>
      <c r="AD78" s="168" t="e">
        <f>+AD71-AD76</f>
        <v>#DIV/0!</v>
      </c>
      <c r="AF78" s="168" t="e">
        <f>+AF71-AF76</f>
        <v>#DIV/0!</v>
      </c>
      <c r="AH78" s="168" t="e">
        <f>+AH71-AH76</f>
        <v>#DIV/0!</v>
      </c>
      <c r="AJ78" s="168" t="e">
        <f>+AJ71-AJ76</f>
        <v>#DIV/0!</v>
      </c>
      <c r="AM78" s="203" t="e">
        <f>SUM(B78,D78,F78,H78,J78,L78,N78,P78,R78,T78,V78,X78,Z78,AB78,AD78,AF78,AH78,AJ78)</f>
        <v>#DIV/0!</v>
      </c>
      <c r="AN78" s="197" t="e">
        <f>AM78/AM13</f>
        <v>#DIV/0!</v>
      </c>
    </row>
    <row r="80" spans="1:40" x14ac:dyDescent="0.25">
      <c r="A80" t="s">
        <v>81</v>
      </c>
    </row>
    <row r="81" spans="1:40" x14ac:dyDescent="0.25">
      <c r="AM81" s="188">
        <f t="shared" ref="AM81:AM87" si="101">SUM(B81,D81,F81,H81,J81,L81,N81,P81,R81,T81,V81,X81,Z81,)</f>
        <v>0</v>
      </c>
    </row>
    <row r="82" spans="1:40" x14ac:dyDescent="0.25">
      <c r="AM82" s="188">
        <f t="shared" si="101"/>
        <v>0</v>
      </c>
    </row>
    <row r="83" spans="1:40" x14ac:dyDescent="0.25">
      <c r="AM83" s="188">
        <f t="shared" si="101"/>
        <v>0</v>
      </c>
    </row>
    <row r="84" spans="1:40" x14ac:dyDescent="0.25">
      <c r="AM84" s="188">
        <f t="shared" si="101"/>
        <v>0</v>
      </c>
    </row>
    <row r="85" spans="1:40" x14ac:dyDescent="0.25">
      <c r="AM85" s="188">
        <f t="shared" si="101"/>
        <v>0</v>
      </c>
    </row>
    <row r="86" spans="1:40" x14ac:dyDescent="0.25">
      <c r="AM86" s="188">
        <f t="shared" si="101"/>
        <v>0</v>
      </c>
    </row>
    <row r="87" spans="1:40" x14ac:dyDescent="0.25">
      <c r="AM87" s="188">
        <f t="shared" si="101"/>
        <v>0</v>
      </c>
    </row>
    <row r="88" spans="1:40" x14ac:dyDescent="0.25">
      <c r="A88" t="s">
        <v>82</v>
      </c>
      <c r="AM88" s="201">
        <f>SUM(AM81:AM87)</f>
        <v>0</v>
      </c>
      <c r="AN88" s="205"/>
    </row>
  </sheetData>
  <mergeCells count="19">
    <mergeCell ref="L5:M5"/>
    <mergeCell ref="N5:O5"/>
    <mergeCell ref="P5:Q5"/>
    <mergeCell ref="R5:S5"/>
    <mergeCell ref="AF5:AG5"/>
    <mergeCell ref="T5:U5"/>
    <mergeCell ref="V5:W5"/>
    <mergeCell ref="B5:C5"/>
    <mergeCell ref="D5:E5"/>
    <mergeCell ref="F5:G5"/>
    <mergeCell ref="H5:I5"/>
    <mergeCell ref="J5:K5"/>
    <mergeCell ref="X5:Y5"/>
    <mergeCell ref="Z5:AA5"/>
    <mergeCell ref="AB5:AC5"/>
    <mergeCell ref="AD5:AE5"/>
    <mergeCell ref="AM4:AN5"/>
    <mergeCell ref="AH5:AI5"/>
    <mergeCell ref="AJ5:AK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81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  <col min="2" max="2" width="14.140625" style="115" bestFit="1" customWidth="1"/>
    <col min="3" max="3" width="11.85546875" style="10" bestFit="1" customWidth="1"/>
  </cols>
  <sheetData>
    <row r="1" spans="1:3" x14ac:dyDescent="0.25">
      <c r="A1" s="11" t="s">
        <v>31</v>
      </c>
      <c r="B1" s="169"/>
      <c r="C1" s="48"/>
    </row>
    <row r="2" spans="1:3" x14ac:dyDescent="0.25">
      <c r="A2" s="11" t="s">
        <v>32</v>
      </c>
      <c r="B2" s="169"/>
      <c r="C2" s="48"/>
    </row>
    <row r="3" spans="1:3" x14ac:dyDescent="0.25">
      <c r="A3" s="14" t="s">
        <v>91</v>
      </c>
      <c r="B3" s="169"/>
      <c r="C3" s="48"/>
    </row>
    <row r="4" spans="1:3" x14ac:dyDescent="0.25">
      <c r="A4" s="12"/>
      <c r="B4" s="183">
        <v>45049</v>
      </c>
      <c r="C4" s="183">
        <v>45077</v>
      </c>
    </row>
    <row r="5" spans="1:3" ht="15.75" thickBot="1" x14ac:dyDescent="0.3">
      <c r="A5" s="12"/>
      <c r="B5" s="216" t="s">
        <v>20</v>
      </c>
      <c r="C5" s="216"/>
    </row>
    <row r="6" spans="1:3" ht="15.75" thickTop="1" x14ac:dyDescent="0.25">
      <c r="A6" s="15" t="s">
        <v>35</v>
      </c>
      <c r="B6" s="170" t="s">
        <v>36</v>
      </c>
      <c r="C6" s="176" t="s">
        <v>37</v>
      </c>
    </row>
    <row r="7" spans="1:3" x14ac:dyDescent="0.25">
      <c r="A7" s="17"/>
      <c r="B7" s="171"/>
      <c r="C7" s="177"/>
    </row>
    <row r="8" spans="1:3" x14ac:dyDescent="0.25">
      <c r="A8" s="19" t="s">
        <v>27</v>
      </c>
      <c r="B8" s="115">
        <f>SUMIFS(Tabla_Registro_de_movimientos_app.accdb[Importe_Ingreso],Tabla_Registro_de_movimientos_app.accdb[Sucursal],Almacen!$B$5,Tabla_Registro_de_movimientos_app.accdb[Detalle de movimiento],Almacen!A8,Tabla_Registro_de_movimientos_app.accdb[Fecha],"&gt;"&amp;Almacen!$B$4,Tabla_Registro_de_movimientos_app.accdb[Fecha],"&lt;="&amp;Almacen!$C$4)</f>
        <v>0</v>
      </c>
      <c r="C8" s="48" t="e">
        <f>B8/$B$11</f>
        <v>#DIV/0!</v>
      </c>
    </row>
    <row r="9" spans="1:3" x14ac:dyDescent="0.25">
      <c r="A9" s="19" t="s">
        <v>22</v>
      </c>
      <c r="B9" s="115">
        <f>SUMIFS(Tabla_Registro_de_movimientos_app.accdb[Importe_Ingreso],Tabla_Registro_de_movimientos_app.accdb[Sucursal],Almacen!$B$5,Tabla_Registro_de_movimientos_app.accdb[Detalle de movimiento],Almacen!A9,Tabla_Registro_de_movimientos_app.accdb[Fecha],"&gt;"&amp;Almacen!$B$4,Tabla_Registro_de_movimientos_app.accdb[Fecha],"&lt;="&amp;Almacen!$C$4)</f>
        <v>0</v>
      </c>
      <c r="C9" s="48" t="e">
        <f t="shared" ref="C9:C10" si="0">B9/$B$11</f>
        <v>#DIV/0!</v>
      </c>
    </row>
    <row r="10" spans="1:3" x14ac:dyDescent="0.25">
      <c r="A10" s="19" t="s">
        <v>225</v>
      </c>
      <c r="B10" s="115">
        <f>SUMIFS(Tabla_Registro_de_movimientos_app.accdb[Importe_Ingreso],Tabla_Registro_de_movimientos_app.accdb[Sucursal],Almacen!$B$5,Tabla_Registro_de_movimientos_app.accdb[Detalle de movimiento],Almacen!A10,Tabla_Registro_de_movimientos_app.accdb[Fecha],"&gt;"&amp;Almacen!$B$4,Tabla_Registro_de_movimientos_app.accdb[Fecha],"&lt;="&amp;Almacen!$C$4)</f>
        <v>0</v>
      </c>
      <c r="C10" s="48" t="e">
        <f t="shared" si="0"/>
        <v>#DIV/0!</v>
      </c>
    </row>
    <row r="11" spans="1:3" x14ac:dyDescent="0.25">
      <c r="A11" s="22" t="s">
        <v>38</v>
      </c>
      <c r="B11" s="172">
        <f>SUM(B8:B10)</f>
        <v>0</v>
      </c>
      <c r="C11" s="116" t="e">
        <f>SUM(C8:C10)</f>
        <v>#DIV/0!</v>
      </c>
    </row>
    <row r="12" spans="1:3" x14ac:dyDescent="0.25">
      <c r="A12" s="25"/>
      <c r="B12" s="169"/>
      <c r="C12" s="48"/>
    </row>
    <row r="13" spans="1:3" x14ac:dyDescent="0.25">
      <c r="A13" s="26" t="s">
        <v>53</v>
      </c>
      <c r="B13" s="169"/>
      <c r="C13" s="48"/>
    </row>
    <row r="14" spans="1:3" x14ac:dyDescent="0.25">
      <c r="A14" s="19" t="s">
        <v>24</v>
      </c>
      <c r="B14" s="115">
        <f>SUMIFS(Tabla_Registro_de_movimientos_app.accdb[Importe_Inventario_I],Tabla_Registro_de_movimientos_app.accdb[Sucursal],Almacen!$B$5,Tabla_Registro_de_movimientos_app.accdb[Detalle de movimiento],Almacen!A14,Tabla_Registro_de_movimientos_app.accdb[Fecha],"&gt;"&amp;Almacen!$B$4,Tabla_Registro_de_movimientos_app.accdb[Fecha],"&lt;="&amp;Almacen!$C$4)</f>
        <v>0</v>
      </c>
      <c r="C14" s="48" t="e">
        <f>B14/$B$22</f>
        <v>#DIV/0!</v>
      </c>
    </row>
    <row r="15" spans="1:3" x14ac:dyDescent="0.25">
      <c r="A15" s="19" t="s">
        <v>21</v>
      </c>
      <c r="B15" s="115">
        <f>SUMIFS(Tabla_Registro_de_movimientos_app.accdb[Importe_Costo],Tabla_Registro_de_movimientos_app.accdb[Sucursal],Almacen!$B$5,Tabla_Registro_de_movimientos_app.accdb[Detalle de movimiento],Almacen!A15,Tabla_Registro_de_movimientos_app.accdb[Fecha],"&gt;"&amp;Almacen!$B$4,Tabla_Registro_de_movimientos_app.accdb[Fecha],"&lt;="&amp;Almacen!$C$4)</f>
        <v>0</v>
      </c>
      <c r="C15" s="48" t="e">
        <f t="shared" ref="C15:C21" si="1">B15/$B$22</f>
        <v>#DIV/0!</v>
      </c>
    </row>
    <row r="16" spans="1:3" x14ac:dyDescent="0.25">
      <c r="A16" s="27" t="s">
        <v>54</v>
      </c>
      <c r="B16" s="115">
        <f>SUMIFS(Tabla_Registro_de_movimientos_app.accdb[Importe_Costo],Tabla_Registro_de_movimientos_app.accdb[Sucursal],Almacen!$B$5,Tabla_Registro_de_movimientos_app.accdb[Detalle de movimiento],Almacen!A16,Tabla_Registro_de_movimientos_app.accdb[Fecha],"&gt;"&amp;Almacen!$B$4,Tabla_Registro_de_movimientos_app.accdb[Fecha],"&lt;="&amp;Almacen!$C$4)</f>
        <v>0</v>
      </c>
      <c r="C16" s="48" t="e">
        <f t="shared" si="1"/>
        <v>#DIV/0!</v>
      </c>
    </row>
    <row r="17" spans="1:3" x14ac:dyDescent="0.25">
      <c r="A17" s="19" t="s">
        <v>29</v>
      </c>
      <c r="B17" s="115">
        <f>SUMIFS(Tabla_Registro_de_movimientos_app.accdb[Importe_Costo],Tabla_Registro_de_movimientos_app.accdb[Sucursal],Almacen!$B$5,Tabla_Registro_de_movimientos_app.accdb[Detalle de movimiento],Almacen!A17,Tabla_Registro_de_movimientos_app.accdb[Fecha],"&gt;"&amp;Almacen!$B$4,Tabla_Registro_de_movimientos_app.accdb[Fecha],"&lt;="&amp;Almacen!$C$4)</f>
        <v>0</v>
      </c>
      <c r="C17" s="48" t="e">
        <f t="shared" si="1"/>
        <v>#DIV/0!</v>
      </c>
    </row>
    <row r="18" spans="1:3" x14ac:dyDescent="0.25">
      <c r="A18" s="19" t="s">
        <v>55</v>
      </c>
      <c r="B18" s="115">
        <f>SUMIFS(Tabla_Registro_de_movimientos_app.accdb[Importe_Costo],Tabla_Registro_de_movimientos_app.accdb[Sucursal],Almacen!$B$5,Tabla_Registro_de_movimientos_app.accdb[Detalle de movimiento],Almacen!A18,Tabla_Registro_de_movimientos_app.accdb[Fecha],"&gt;"&amp;Almacen!$B$4,Tabla_Registro_de_movimientos_app.accdb[Fecha],"&lt;="&amp;Almacen!$C$4)</f>
        <v>0</v>
      </c>
      <c r="C18" s="48" t="e">
        <f t="shared" si="1"/>
        <v>#DIV/0!</v>
      </c>
    </row>
    <row r="19" spans="1:3" x14ac:dyDescent="0.25">
      <c r="A19" s="19" t="s">
        <v>56</v>
      </c>
      <c r="B19" s="115">
        <f>SUMIFS(Tabla_Registro_de_movimientos_app.accdb[Importe_Costo],Tabla_Registro_de_movimientos_app.accdb[Sucursal],Almacen!$B$5,Tabla_Registro_de_movimientos_app.accdb[Detalle de movimiento],Almacen!A19,Tabla_Registro_de_movimientos_app.accdb[Fecha],"&gt;"&amp;Almacen!$B$4,Tabla_Registro_de_movimientos_app.accdb[Fecha],"&lt;="&amp;Almacen!$C$4)</f>
        <v>0</v>
      </c>
      <c r="C19" s="48" t="e">
        <f t="shared" si="1"/>
        <v>#DIV/0!</v>
      </c>
    </row>
    <row r="20" spans="1:3" x14ac:dyDescent="0.25">
      <c r="A20" s="27" t="s">
        <v>25</v>
      </c>
      <c r="B20" s="115">
        <f>SUMIFS(Tabla_Registro_de_movimientos_app.accdb[Importe_Inventario_F],Tabla_Registro_de_movimientos_app.accdb[Sucursal],Almacen!$B$5,Tabla_Registro_de_movimientos_app.accdb[Detalle de movimiento],Almacen!A20,Tabla_Registro_de_movimientos_app.accdb[Fecha],"&gt;"&amp;Almacen!$B$4,Tabla_Registro_de_movimientos_app.accdb[Fecha],"&lt;="&amp;Almacen!$C$4)</f>
        <v>0</v>
      </c>
      <c r="C20" s="48" t="e">
        <f t="shared" si="1"/>
        <v>#DIV/0!</v>
      </c>
    </row>
    <row r="21" spans="1:3" x14ac:dyDescent="0.25">
      <c r="A21" s="27" t="s">
        <v>57</v>
      </c>
      <c r="B21" s="115">
        <f>SUMIFS(Tabla_Registro_de_movimientos_app.accdb[Importe_Costo],Tabla_Registro_de_movimientos_app.accdb[Sucursal],Almacen!$B$5,Tabla_Registro_de_movimientos_app.accdb[Detalle de movimiento],Almacen!A21,Tabla_Registro_de_movimientos_app.accdb[Fecha],"&gt;"&amp;Almacen!$B$4,Tabla_Registro_de_movimientos_app.accdb[Fecha],"&lt;="&amp;Almacen!$C$4)</f>
        <v>0</v>
      </c>
      <c r="C21" s="48" t="e">
        <f t="shared" si="1"/>
        <v>#DIV/0!</v>
      </c>
    </row>
    <row r="22" spans="1:3" x14ac:dyDescent="0.25">
      <c r="A22" s="28" t="s">
        <v>58</v>
      </c>
      <c r="B22" s="172">
        <f>SUM(B14:B21)</f>
        <v>0</v>
      </c>
      <c r="C22" s="116">
        <f>SUM(B22)</f>
        <v>0</v>
      </c>
    </row>
    <row r="23" spans="1:3" x14ac:dyDescent="0.25">
      <c r="A23" s="11"/>
      <c r="B23" s="169"/>
      <c r="C23" s="48"/>
    </row>
    <row r="24" spans="1:3" x14ac:dyDescent="0.25">
      <c r="A24" s="28" t="s">
        <v>59</v>
      </c>
      <c r="B24" s="172">
        <f>B11-B22</f>
        <v>0</v>
      </c>
      <c r="C24" s="116">
        <f>B24-B11</f>
        <v>0</v>
      </c>
    </row>
    <row r="25" spans="1:3" x14ac:dyDescent="0.25">
      <c r="A25" s="11"/>
      <c r="B25" s="169"/>
      <c r="C25" s="48"/>
    </row>
    <row r="26" spans="1:3" x14ac:dyDescent="0.25">
      <c r="A26" s="11" t="s">
        <v>39</v>
      </c>
      <c r="B26" s="169"/>
      <c r="C26" s="48"/>
    </row>
    <row r="27" spans="1:3" x14ac:dyDescent="0.25">
      <c r="A27" s="27" t="s">
        <v>30</v>
      </c>
      <c r="B27" s="115">
        <f>SUMIFS(Tabla_Registro_de_movimientos_app.accdb[Importe_Gasto],Tabla_Registro_de_movimientos_app.accdb[Sucursal],Almacen!$B$5,Tabla_Registro_de_movimientos_app.accdb[Detalle de movimiento],Almacen!A27,Tabla_Registro_de_movimientos_app.accdb[Fecha],"&gt;"&amp;Sucursal!$B$4,Tabla_Registro_de_movimientos_app.accdb[Fecha],"&lt;="&amp;Sucursal!$C$4)</f>
        <v>0</v>
      </c>
      <c r="C27" s="48" t="e">
        <f>B27/$B$46</f>
        <v>#DIV/0!</v>
      </c>
    </row>
    <row r="28" spans="1:3" x14ac:dyDescent="0.25">
      <c r="A28" s="27" t="s">
        <v>26</v>
      </c>
      <c r="B28" s="115">
        <f>SUMIFS(Tabla_Registro_de_movimientos_app.accdb[Importe_Gasto],Tabla_Registro_de_movimientos_app.accdb[Sucursal],Almacen!$B$5,Tabla_Registro_de_movimientos_app.accdb[Detalle de movimiento],Almacen!A28,Tabla_Registro_de_movimientos_app.accdb[Fecha],"&gt;"&amp;Sucursal!$B$4,Tabla_Registro_de_movimientos_app.accdb[Fecha],"&lt;="&amp;Sucursal!$C$4)</f>
        <v>0</v>
      </c>
      <c r="C28" s="48" t="e">
        <f t="shared" ref="C28:C44" si="2">B28/$B$46</f>
        <v>#DIV/0!</v>
      </c>
    </row>
    <row r="29" spans="1:3" x14ac:dyDescent="0.25">
      <c r="A29" s="27" t="s">
        <v>41</v>
      </c>
      <c r="B29" s="115">
        <f>SUMIFS(Tabla_Registro_de_movimientos_app.accdb[Importe_Gasto],Tabla_Registro_de_movimientos_app.accdb[Sucursal],Almacen!$B$5,Tabla_Registro_de_movimientos_app.accdb[Detalle de movimiento],Almacen!A29,Tabla_Registro_de_movimientos_app.accdb[Fecha],"&gt;"&amp;Sucursal!$B$4,Tabla_Registro_de_movimientos_app.accdb[Fecha],"&lt;="&amp;Sucursal!$C$4)</f>
        <v>0</v>
      </c>
      <c r="C29" s="48" t="e">
        <f t="shared" si="2"/>
        <v>#DIV/0!</v>
      </c>
    </row>
    <row r="30" spans="1:3" x14ac:dyDescent="0.25">
      <c r="A30" s="27" t="s">
        <v>42</v>
      </c>
      <c r="B30" s="115">
        <f>SUMIFS(Tabla_Registro_de_movimientos_app.accdb[Importe_Gasto],Tabla_Registro_de_movimientos_app.accdb[Sucursal],Almacen!$B$5,Tabla_Registro_de_movimientos_app.accdb[Detalle de movimiento],Almacen!A30,Tabla_Registro_de_movimientos_app.accdb[Fecha],"&gt;"&amp;Sucursal!$B$4,Tabla_Registro_de_movimientos_app.accdb[Fecha],"&lt;="&amp;Sucursal!$C$4)</f>
        <v>0</v>
      </c>
      <c r="C30" s="48" t="e">
        <f t="shared" si="2"/>
        <v>#DIV/0!</v>
      </c>
    </row>
    <row r="31" spans="1:3" x14ac:dyDescent="0.25">
      <c r="A31" s="27" t="s">
        <v>28</v>
      </c>
      <c r="B31" s="115">
        <f>SUMIFS(Tabla_Registro_de_movimientos_app.accdb[Importe_Gasto],Tabla_Registro_de_movimientos_app.accdb[Sucursal],Almacen!$B$5,Tabla_Registro_de_movimientos_app.accdb[Detalle de movimiento],Almacen!A31,Tabla_Registro_de_movimientos_app.accdb[Fecha],"&gt;"&amp;Sucursal!$B$4,Tabla_Registro_de_movimientos_app.accdb[Fecha],"&lt;="&amp;Sucursal!$C$4)</f>
        <v>0</v>
      </c>
      <c r="C31" s="48" t="e">
        <f t="shared" si="2"/>
        <v>#DIV/0!</v>
      </c>
    </row>
    <row r="32" spans="1:3" x14ac:dyDescent="0.25">
      <c r="A32" s="27" t="s">
        <v>12</v>
      </c>
      <c r="B32" s="115">
        <f>SUMIFS(Tabla_Registro_de_movimientos_app.accdb[Importe_Gasto],Tabla_Registro_de_movimientos_app.accdb[Sucursal],Almacen!$B$5,Tabla_Registro_de_movimientos_app.accdb[Detalle de movimiento],Almacen!A32,Tabla_Registro_de_movimientos_app.accdb[Fecha],"&gt;"&amp;Sucursal!$B$4,Tabla_Registro_de_movimientos_app.accdb[Fecha],"&lt;="&amp;Sucursal!$C$4)</f>
        <v>0</v>
      </c>
      <c r="C32" s="48" t="e">
        <f t="shared" si="2"/>
        <v>#DIV/0!</v>
      </c>
    </row>
    <row r="33" spans="1:3" x14ac:dyDescent="0.25">
      <c r="A33" s="27" t="s">
        <v>52</v>
      </c>
      <c r="B33" s="115">
        <f>SUMIFS(Tabla_Registro_de_movimientos_app.accdb[Importe_Gasto],Tabla_Registro_de_movimientos_app.accdb[Sucursal],Almacen!$B$5,Tabla_Registro_de_movimientos_app.accdb[Detalle de movimiento],Almacen!A33,Tabla_Registro_de_movimientos_app.accdb[Fecha],"&gt;"&amp;Sucursal!$B$4,Tabla_Registro_de_movimientos_app.accdb[Fecha],"&lt;="&amp;Sucursal!$C$4)</f>
        <v>0</v>
      </c>
      <c r="C33" s="48" t="e">
        <f t="shared" si="2"/>
        <v>#DIV/0!</v>
      </c>
    </row>
    <row r="34" spans="1:3" x14ac:dyDescent="0.25">
      <c r="A34" s="27" t="s">
        <v>43</v>
      </c>
      <c r="B34" s="115">
        <f>SUMIFS(Tabla_Registro_de_movimientos_app.accdb[Importe_Gasto],Tabla_Registro_de_movimientos_app.accdb[Sucursal],Almacen!$B$5,Tabla_Registro_de_movimientos_app.accdb[Detalle de movimiento],Almacen!A34,Tabla_Registro_de_movimientos_app.accdb[Fecha],"&gt;"&amp;Sucursal!$B$4,Tabla_Registro_de_movimientos_app.accdb[Fecha],"&lt;="&amp;Sucursal!$C$4)</f>
        <v>0</v>
      </c>
      <c r="C34" s="48" t="e">
        <f t="shared" si="2"/>
        <v>#DIV/0!</v>
      </c>
    </row>
    <row r="35" spans="1:3" x14ac:dyDescent="0.25">
      <c r="A35" s="27" t="s">
        <v>44</v>
      </c>
      <c r="B35" s="115">
        <f>SUMIFS(Tabla_Registro_de_movimientos_app.accdb[Importe_Gasto],Tabla_Registro_de_movimientos_app.accdb[Sucursal],Almacen!$B$5,Tabla_Registro_de_movimientos_app.accdb[Detalle de movimiento],Almacen!A35,Tabla_Registro_de_movimientos_app.accdb[Fecha],"&gt;"&amp;Sucursal!$B$4,Tabla_Registro_de_movimientos_app.accdb[Fecha],"&lt;="&amp;Sucursal!$C$4)</f>
        <v>0</v>
      </c>
      <c r="C35" s="48" t="e">
        <f t="shared" si="2"/>
        <v>#DIV/0!</v>
      </c>
    </row>
    <row r="36" spans="1:3" x14ac:dyDescent="0.25">
      <c r="A36" s="27" t="s">
        <v>45</v>
      </c>
      <c r="B36" s="115">
        <f>SUMIFS(Tabla_Registro_de_movimientos_app.accdb[Importe_Gasto],Tabla_Registro_de_movimientos_app.accdb[Sucursal],Almacen!$B$5,Tabla_Registro_de_movimientos_app.accdb[Detalle de movimiento],Almacen!A36,Tabla_Registro_de_movimientos_app.accdb[Fecha],"&gt;"&amp;Sucursal!$B$4,Tabla_Registro_de_movimientos_app.accdb[Fecha],"&lt;="&amp;Sucursal!$C$4)</f>
        <v>0</v>
      </c>
      <c r="C36" s="48" t="e">
        <f t="shared" si="2"/>
        <v>#DIV/0!</v>
      </c>
    </row>
    <row r="37" spans="1:3" x14ac:dyDescent="0.25">
      <c r="A37" s="27" t="s">
        <v>46</v>
      </c>
      <c r="B37" s="115">
        <f>SUMIFS(Tabla_Registro_de_movimientos_app.accdb[Importe_Gasto],Tabla_Registro_de_movimientos_app.accdb[Sucursal],Almacen!$B$5,Tabla_Registro_de_movimientos_app.accdb[Detalle de movimiento],Almacen!A37,Tabla_Registro_de_movimientos_app.accdb[Fecha],"&gt;"&amp;Sucursal!$B$4,Tabla_Registro_de_movimientos_app.accdb[Fecha],"&lt;="&amp;Sucursal!$C$4)</f>
        <v>0</v>
      </c>
      <c r="C37" s="48" t="e">
        <f t="shared" si="2"/>
        <v>#DIV/0!</v>
      </c>
    </row>
    <row r="38" spans="1:3" x14ac:dyDescent="0.25">
      <c r="A38" s="27" t="s">
        <v>134</v>
      </c>
      <c r="B38" s="115">
        <f>SUMIFS(Tabla_Registro_de_movimientos_app.accdb[Importe_Gasto],Tabla_Registro_de_movimientos_app.accdb[Sucursal],Almacen!$B$5,Tabla_Registro_de_movimientos_app.accdb[Detalle de movimiento],Almacen!A38,Tabla_Registro_de_movimientos_app.accdb[Fecha],"&gt;"&amp;Sucursal!$B$4,Tabla_Registro_de_movimientos_app.accdb[Fecha],"&lt;="&amp;Sucursal!$C$4)</f>
        <v>0</v>
      </c>
      <c r="C38" s="48" t="e">
        <f t="shared" si="2"/>
        <v>#DIV/0!</v>
      </c>
    </row>
    <row r="39" spans="1:3" x14ac:dyDescent="0.25">
      <c r="A39" s="27" t="s">
        <v>93</v>
      </c>
      <c r="B39" s="115">
        <f>SUMIFS(Tabla_Registro_de_movimientos_app.accdb[Importe_Gasto],Tabla_Registro_de_movimientos_app.accdb[Sucursal],Almacen!$B$5,Tabla_Registro_de_movimientos_app.accdb[Detalle de movimiento],Almacen!A39,Tabla_Registro_de_movimientos_app.accdb[Fecha],"&gt;"&amp;Sucursal!$B$4,Tabla_Registro_de_movimientos_app.accdb[Fecha],"&lt;="&amp;Sucursal!$C$4)</f>
        <v>0</v>
      </c>
      <c r="C39" s="48" t="e">
        <f t="shared" si="2"/>
        <v>#DIV/0!</v>
      </c>
    </row>
    <row r="40" spans="1:3" x14ac:dyDescent="0.25">
      <c r="A40" s="27" t="s">
        <v>135</v>
      </c>
      <c r="B40" s="115">
        <f>SUMIFS(Tabla_Registro_de_movimientos_app.accdb[Importe_Gasto],Tabla_Registro_de_movimientos_app.accdb[Sucursal],Almacen!$B$5,Tabla_Registro_de_movimientos_app.accdb[Detalle de movimiento],Almacen!A40,Tabla_Registro_de_movimientos_app.accdb[Fecha],"&gt;"&amp;Sucursal!$B$4,Tabla_Registro_de_movimientos_app.accdb[Fecha],"&lt;="&amp;Sucursal!$C$4)</f>
        <v>0</v>
      </c>
      <c r="C40" s="48" t="e">
        <f t="shared" si="2"/>
        <v>#DIV/0!</v>
      </c>
    </row>
    <row r="41" spans="1:3" x14ac:dyDescent="0.25">
      <c r="A41" s="27" t="s">
        <v>136</v>
      </c>
      <c r="B41" s="115">
        <f>SUMIFS(Tabla_Registro_de_movimientos_app.accdb[Importe_Gasto],Tabla_Registro_de_movimientos_app.accdb[Sucursal],Almacen!$B$5,Tabla_Registro_de_movimientos_app.accdb[Detalle de movimiento],Almacen!A41,Tabla_Registro_de_movimientos_app.accdb[Fecha],"&gt;"&amp;Sucursal!$B$4,Tabla_Registro_de_movimientos_app.accdb[Fecha],"&lt;="&amp;Sucursal!$C$4)</f>
        <v>0</v>
      </c>
      <c r="C41" s="48" t="e">
        <f t="shared" si="2"/>
        <v>#DIV/0!</v>
      </c>
    </row>
    <row r="42" spans="1:3" x14ac:dyDescent="0.25">
      <c r="A42" s="27" t="s">
        <v>50</v>
      </c>
      <c r="B42" s="115">
        <f>SUMIFS(Tabla_Registro_de_movimientos_app.accdb[Importe_Gasto],Tabla_Registro_de_movimientos_app.accdb[Sucursal],Almacen!$B$5,Tabla_Registro_de_movimientos_app.accdb[Detalle de movimiento],Almacen!A42,Tabla_Registro_de_movimientos_app.accdb[Fecha],"&gt;"&amp;Sucursal!$B$4,Tabla_Registro_de_movimientos_app.accdb[Fecha],"&lt;="&amp;Sucursal!$C$4)</f>
        <v>0</v>
      </c>
      <c r="C42" s="48" t="e">
        <f t="shared" si="2"/>
        <v>#DIV/0!</v>
      </c>
    </row>
    <row r="43" spans="1:3" x14ac:dyDescent="0.25">
      <c r="A43" s="27" t="s">
        <v>48</v>
      </c>
      <c r="B43" s="115">
        <f>SUMIFS(Tabla_Registro_de_movimientos_app.accdb[Importe_Gasto],Tabla_Registro_de_movimientos_app.accdb[Sucursal],Almacen!$B$5,Tabla_Registro_de_movimientos_app.accdb[Detalle de movimiento],Almacen!A43,Tabla_Registro_de_movimientos_app.accdb[Fecha],"&gt;"&amp;Sucursal!$B$4,Tabla_Registro_de_movimientos_app.accdb[Fecha],"&lt;="&amp;Sucursal!$C$4)</f>
        <v>0</v>
      </c>
      <c r="C43" s="48" t="e">
        <f t="shared" si="2"/>
        <v>#DIV/0!</v>
      </c>
    </row>
    <row r="44" spans="1:3" x14ac:dyDescent="0.25">
      <c r="A44" s="27" t="s">
        <v>49</v>
      </c>
      <c r="B44" s="115">
        <f>SUMIFS(Tabla_Registro_de_movimientos_app.accdb[Importe_Gasto],Tabla_Registro_de_movimientos_app.accdb[Sucursal],Almacen!$B$5,Tabla_Registro_de_movimientos_app.accdb[Detalle de movimiento],Almacen!A44,Tabla_Registro_de_movimientos_app.accdb[Fecha],"&gt;"&amp;Sucursal!$B$4,Tabla_Registro_de_movimientos_app.accdb[Fecha],"&lt;="&amp;Sucursal!$C$4)</f>
        <v>0</v>
      </c>
      <c r="C44" s="48" t="e">
        <f t="shared" si="2"/>
        <v>#DIV/0!</v>
      </c>
    </row>
    <row r="45" spans="1:3" x14ac:dyDescent="0.25">
      <c r="A45" s="27"/>
      <c r="C45" s="48"/>
    </row>
    <row r="46" spans="1:3" x14ac:dyDescent="0.25">
      <c r="A46" s="28" t="s">
        <v>51</v>
      </c>
      <c r="B46" s="172">
        <f>SUM(B27:B45)</f>
        <v>0</v>
      </c>
      <c r="C46" s="116" t="e">
        <f>SUM(C27:C45)</f>
        <v>#DIV/0!</v>
      </c>
    </row>
    <row r="47" spans="1:3" x14ac:dyDescent="0.25">
      <c r="A47" s="27"/>
      <c r="B47" s="169"/>
      <c r="C47" s="48"/>
    </row>
    <row r="48" spans="1:3" x14ac:dyDescent="0.25">
      <c r="A48" s="11" t="s">
        <v>62</v>
      </c>
      <c r="B48" s="169"/>
      <c r="C48" s="48"/>
    </row>
    <row r="49" spans="1:3" x14ac:dyDescent="0.25">
      <c r="A49" s="27" t="s">
        <v>85</v>
      </c>
      <c r="B49" s="115">
        <f>SUMIFS(Tabla_Registro_de_movimientos_app.accdb[Importe_Gasto],Tabla_Registro_de_movimientos_app.accdb[Sucursal],Almacen!$B$5,Tabla_Registro_de_movimientos_app.accdb[Detalle de movimiento],Almacen!A49,Tabla_Registro_de_movimientos_app.accdb[Fecha],"&gt;"&amp;Sucursal!$B$4,Tabla_Registro_de_movimientos_app.accdb[Fecha],"&lt;="&amp;Sucursal!$C$4)</f>
        <v>0</v>
      </c>
      <c r="C49" s="48" t="e">
        <f>B49/$B$62</f>
        <v>#DIV/0!</v>
      </c>
    </row>
    <row r="50" spans="1:3" x14ac:dyDescent="0.25">
      <c r="A50" s="27" t="s">
        <v>63</v>
      </c>
      <c r="B50" s="115">
        <f>SUMIFS(Tabla_Registro_de_movimientos_app.accdb[Importe_Gasto],Tabla_Registro_de_movimientos_app.accdb[Sucursal],Almacen!$B$5,Tabla_Registro_de_movimientos_app.accdb[Detalle de movimiento],Almacen!A50,Tabla_Registro_de_movimientos_app.accdb[Fecha],"&gt;"&amp;Sucursal!$B$4,Tabla_Registro_de_movimientos_app.accdb[Fecha],"&lt;="&amp;Sucursal!$C$4)</f>
        <v>0</v>
      </c>
      <c r="C50" s="48" t="e">
        <f t="shared" ref="C50:C61" si="3">B50/$B$62</f>
        <v>#DIV/0!</v>
      </c>
    </row>
    <row r="51" spans="1:3" x14ac:dyDescent="0.25">
      <c r="A51" s="27" t="s">
        <v>64</v>
      </c>
      <c r="B51" s="115">
        <f>SUMIFS(Tabla_Registro_de_movimientos_app.accdb[Importe_Gasto],Tabla_Registro_de_movimientos_app.accdb[Sucursal],Almacen!$B$5,Tabla_Registro_de_movimientos_app.accdb[Detalle de movimiento],Almacen!A51,Tabla_Registro_de_movimientos_app.accdb[Fecha],"&gt;"&amp;Sucursal!$B$4,Tabla_Registro_de_movimientos_app.accdb[Fecha],"&lt;="&amp;Sucursal!$C$4)</f>
        <v>0</v>
      </c>
      <c r="C51" s="48" t="e">
        <f t="shared" si="3"/>
        <v>#DIV/0!</v>
      </c>
    </row>
    <row r="52" spans="1:3" x14ac:dyDescent="0.25">
      <c r="A52" s="27" t="s">
        <v>65</v>
      </c>
      <c r="B52" s="115">
        <f>SUMIFS(Tabla_Registro_de_movimientos_app.accdb[Importe_Gasto],Tabla_Registro_de_movimientos_app.accdb[Sucursal],Almacen!$B$5,Tabla_Registro_de_movimientos_app.accdb[Detalle de movimiento],Almacen!A52,Tabla_Registro_de_movimientos_app.accdb[Fecha],"&gt;"&amp;Sucursal!$B$4,Tabla_Registro_de_movimientos_app.accdb[Fecha],"&lt;="&amp;Sucursal!$C$4)</f>
        <v>0</v>
      </c>
      <c r="C52" s="48" t="e">
        <f t="shared" si="3"/>
        <v>#DIV/0!</v>
      </c>
    </row>
    <row r="53" spans="1:3" x14ac:dyDescent="0.25">
      <c r="A53" s="27" t="s">
        <v>66</v>
      </c>
      <c r="B53" s="115">
        <f>SUMIFS(Tabla_Registro_de_movimientos_app.accdb[Importe_Gasto],Tabla_Registro_de_movimientos_app.accdb[Sucursal],Almacen!$B$5,Tabla_Registro_de_movimientos_app.accdb[Detalle de movimiento],Almacen!A53,Tabla_Registro_de_movimientos_app.accdb[Fecha],"&gt;"&amp;Sucursal!$B$4,Tabla_Registro_de_movimientos_app.accdb[Fecha],"&lt;="&amp;Sucursal!$C$4)</f>
        <v>0</v>
      </c>
      <c r="C53" s="48" t="e">
        <f t="shared" si="3"/>
        <v>#DIV/0!</v>
      </c>
    </row>
    <row r="54" spans="1:3" x14ac:dyDescent="0.25">
      <c r="A54" s="27" t="s">
        <v>67</v>
      </c>
      <c r="B54" s="115">
        <f>SUMIFS(Tabla_Registro_de_movimientos_app.accdb[Importe_Gasto],Tabla_Registro_de_movimientos_app.accdb[Sucursal],Almacen!$B$5,Tabla_Registro_de_movimientos_app.accdb[Detalle de movimiento],Almacen!A54,Tabla_Registro_de_movimientos_app.accdb[Fecha],"&gt;"&amp;Sucursal!$B$4,Tabla_Registro_de_movimientos_app.accdb[Fecha],"&lt;="&amp;Sucursal!$C$4)</f>
        <v>0</v>
      </c>
      <c r="C54" s="48" t="e">
        <f t="shared" si="3"/>
        <v>#DIV/0!</v>
      </c>
    </row>
    <row r="55" spans="1:3" x14ac:dyDescent="0.25">
      <c r="A55" s="27" t="s">
        <v>68</v>
      </c>
      <c r="B55" s="115">
        <f>SUMIFS(Tabla_Registro_de_movimientos_app.accdb[Importe_Gasto],Tabla_Registro_de_movimientos_app.accdb[Sucursal],Almacen!$B$5,Tabla_Registro_de_movimientos_app.accdb[Detalle de movimiento],Almacen!A55,Tabla_Registro_de_movimientos_app.accdb[Fecha],"&gt;"&amp;Sucursal!$B$4,Tabla_Registro_de_movimientos_app.accdb[Fecha],"&lt;="&amp;Sucursal!$C$4)</f>
        <v>0</v>
      </c>
      <c r="C55" s="48" t="e">
        <f t="shared" si="3"/>
        <v>#DIV/0!</v>
      </c>
    </row>
    <row r="56" spans="1:3" x14ac:dyDescent="0.25">
      <c r="A56" s="27" t="s">
        <v>69</v>
      </c>
      <c r="B56" s="115">
        <f>SUMIFS(Tabla_Registro_de_movimientos_app.accdb[Importe_Gasto],Tabla_Registro_de_movimientos_app.accdb[Sucursal],Almacen!$B$5,Tabla_Registro_de_movimientos_app.accdb[Detalle de movimiento],Almacen!A56,Tabla_Registro_de_movimientos_app.accdb[Fecha],"&gt;"&amp;Sucursal!$B$4,Tabla_Registro_de_movimientos_app.accdb[Fecha],"&lt;="&amp;Sucursal!$C$4)</f>
        <v>0</v>
      </c>
      <c r="C56" s="48" t="e">
        <f t="shared" si="3"/>
        <v>#DIV/0!</v>
      </c>
    </row>
    <row r="57" spans="1:3" x14ac:dyDescent="0.25">
      <c r="A57" s="27" t="s">
        <v>70</v>
      </c>
      <c r="B57" s="115">
        <f>SUMIFS(Tabla_Registro_de_movimientos_app.accdb[Importe_Gasto],Tabla_Registro_de_movimientos_app.accdb[Sucursal],Almacen!$B$5,Tabla_Registro_de_movimientos_app.accdb[Detalle de movimiento],Almacen!A57,Tabla_Registro_de_movimientos_app.accdb[Fecha],"&gt;"&amp;Sucursal!$B$4,Tabla_Registro_de_movimientos_app.accdb[Fecha],"&lt;="&amp;Sucursal!$C$4)</f>
        <v>0</v>
      </c>
      <c r="C57" s="48" t="e">
        <f t="shared" si="3"/>
        <v>#DIV/0!</v>
      </c>
    </row>
    <row r="58" spans="1:3" x14ac:dyDescent="0.25">
      <c r="A58" s="27" t="s">
        <v>71</v>
      </c>
      <c r="B58" s="115">
        <f>SUMIFS(Tabla_Registro_de_movimientos_app.accdb[Importe_Gasto],Tabla_Registro_de_movimientos_app.accdb[Sucursal],Almacen!$B$5,Tabla_Registro_de_movimientos_app.accdb[Detalle de movimiento],Almacen!A58,Tabla_Registro_de_movimientos_app.accdb[Fecha],"&gt;"&amp;Sucursal!$B$4,Tabla_Registro_de_movimientos_app.accdb[Fecha],"&lt;="&amp;Sucursal!$C$4)</f>
        <v>0</v>
      </c>
      <c r="C58" s="48" t="e">
        <f t="shared" si="3"/>
        <v>#DIV/0!</v>
      </c>
    </row>
    <row r="59" spans="1:3" x14ac:dyDescent="0.25">
      <c r="A59" s="27" t="s">
        <v>72</v>
      </c>
      <c r="B59" s="115">
        <f>SUMIFS(Tabla_Registro_de_movimientos_app.accdb[Importe_Gasto],Tabla_Registro_de_movimientos_app.accdb[Sucursal],Almacen!$B$5,Tabla_Registro_de_movimientos_app.accdb[Detalle de movimiento],Almacen!A59,Tabla_Registro_de_movimientos_app.accdb[Fecha],"&gt;"&amp;Sucursal!$B$4,Tabla_Registro_de_movimientos_app.accdb[Fecha],"&lt;="&amp;Sucursal!$C$4)</f>
        <v>0</v>
      </c>
      <c r="C59" s="48" t="e">
        <f t="shared" si="3"/>
        <v>#DIV/0!</v>
      </c>
    </row>
    <row r="60" spans="1:3" x14ac:dyDescent="0.25">
      <c r="A60" s="27" t="s">
        <v>73</v>
      </c>
      <c r="B60" s="115">
        <f>SUMIFS(Tabla_Registro_de_movimientos_app.accdb[Importe_Gasto],Tabla_Registro_de_movimientos_app.accdb[Sucursal],Almacen!$B$5,Tabla_Registro_de_movimientos_app.accdb[Detalle de movimiento],Almacen!A60,Tabla_Registro_de_movimientos_app.accdb[Fecha],"&gt;"&amp;Sucursal!$B$4,Tabla_Registro_de_movimientos_app.accdb[Fecha],"&lt;="&amp;Sucursal!$C$4)</f>
        <v>0</v>
      </c>
      <c r="C60" s="48" t="e">
        <f t="shared" si="3"/>
        <v>#DIV/0!</v>
      </c>
    </row>
    <row r="61" spans="1:3" x14ac:dyDescent="0.25">
      <c r="A61" s="27" t="s">
        <v>74</v>
      </c>
      <c r="B61" s="115">
        <f>SUMIFS(Tabla_Registro_de_movimientos_app.accdb[Importe_Gasto],Tabla_Registro_de_movimientos_app.accdb[Sucursal],Almacen!$B$5,Tabla_Registro_de_movimientos_app.accdb[Detalle de movimiento],Almacen!A61,Tabla_Registro_de_movimientos_app.accdb[Fecha],"&gt;"&amp;Sucursal!$B$4,Tabla_Registro_de_movimientos_app.accdb[Fecha],"&lt;="&amp;Sucursal!$C$4)</f>
        <v>0</v>
      </c>
      <c r="C61" s="48" t="e">
        <f t="shared" si="3"/>
        <v>#DIV/0!</v>
      </c>
    </row>
    <row r="62" spans="1:3" x14ac:dyDescent="0.25">
      <c r="A62" s="28" t="s">
        <v>75</v>
      </c>
      <c r="B62" s="172">
        <f>SUM(B49:B61)</f>
        <v>0</v>
      </c>
      <c r="C62" s="178" t="e">
        <f>SUM(C49:C61)</f>
        <v>#DIV/0!</v>
      </c>
    </row>
    <row r="63" spans="1:3" x14ac:dyDescent="0.25">
      <c r="A63" s="11"/>
      <c r="B63" s="173"/>
      <c r="C63" s="48"/>
    </row>
    <row r="64" spans="1:3" x14ac:dyDescent="0.25">
      <c r="A64" s="29" t="s">
        <v>95</v>
      </c>
      <c r="B64" s="174">
        <f>B24-B46-B62</f>
        <v>0</v>
      </c>
      <c r="C64" s="179" t="e">
        <f>B64/B11</f>
        <v>#DIV/0!</v>
      </c>
    </row>
    <row r="65" spans="1:3" x14ac:dyDescent="0.25">
      <c r="A65" s="12"/>
      <c r="B65" s="169"/>
      <c r="C65" s="48"/>
    </row>
    <row r="66" spans="1:3" x14ac:dyDescent="0.25">
      <c r="A66" s="11" t="s">
        <v>96</v>
      </c>
      <c r="B66" s="169"/>
      <c r="C66" s="48"/>
    </row>
    <row r="67" spans="1:3" x14ac:dyDescent="0.25">
      <c r="A67" s="27" t="s">
        <v>77</v>
      </c>
      <c r="B67" s="169" t="e">
        <f>Matriz!C50</f>
        <v>#DIV/0!</v>
      </c>
      <c r="C67" s="48"/>
    </row>
    <row r="68" spans="1:3" x14ac:dyDescent="0.25">
      <c r="A68" s="27" t="s">
        <v>78</v>
      </c>
      <c r="B68" s="169"/>
      <c r="C68" s="48"/>
    </row>
    <row r="69" spans="1:3" x14ac:dyDescent="0.25">
      <c r="A69" s="28" t="s">
        <v>79</v>
      </c>
      <c r="B69" s="172" t="e">
        <f>SUM(B67:B68)</f>
        <v>#DIV/0!</v>
      </c>
      <c r="C69" s="116" t="e">
        <f>B69/B11</f>
        <v>#DIV/0!</v>
      </c>
    </row>
    <row r="70" spans="1:3" x14ac:dyDescent="0.25">
      <c r="A70" s="12"/>
      <c r="B70" s="169"/>
      <c r="C70" s="48"/>
    </row>
    <row r="71" spans="1:3" x14ac:dyDescent="0.25">
      <c r="A71" s="31" t="s">
        <v>80</v>
      </c>
      <c r="B71" s="175" t="e">
        <f>B64-B69</f>
        <v>#DIV/0!</v>
      </c>
      <c r="C71" s="180" t="e">
        <f>B71/B11</f>
        <v>#DIV/0!</v>
      </c>
    </row>
    <row r="72" spans="1:3" x14ac:dyDescent="0.25">
      <c r="A72" s="12"/>
      <c r="B72" s="169"/>
      <c r="C72" s="48"/>
    </row>
    <row r="73" spans="1:3" x14ac:dyDescent="0.25">
      <c r="A73" s="17" t="s">
        <v>81</v>
      </c>
      <c r="B73" s="169"/>
      <c r="C73" s="48"/>
    </row>
    <row r="74" spans="1:3" x14ac:dyDescent="0.25">
      <c r="A74" s="12"/>
      <c r="B74" s="169">
        <v>0</v>
      </c>
      <c r="C74" s="48"/>
    </row>
    <row r="75" spans="1:3" x14ac:dyDescent="0.25">
      <c r="A75" s="12"/>
      <c r="B75" s="169">
        <v>0</v>
      </c>
      <c r="C75" s="48"/>
    </row>
    <row r="76" spans="1:3" x14ac:dyDescent="0.25">
      <c r="A76" s="12"/>
      <c r="B76" s="169">
        <v>0</v>
      </c>
      <c r="C76" s="48"/>
    </row>
    <row r="77" spans="1:3" x14ac:dyDescent="0.25">
      <c r="A77" s="27"/>
      <c r="B77" s="169">
        <v>0</v>
      </c>
      <c r="C77" s="48"/>
    </row>
    <row r="78" spans="1:3" x14ac:dyDescent="0.25">
      <c r="A78" s="27"/>
      <c r="B78" s="169">
        <v>0</v>
      </c>
      <c r="C78" s="48"/>
    </row>
    <row r="79" spans="1:3" x14ac:dyDescent="0.25">
      <c r="A79" s="12"/>
      <c r="B79" s="169">
        <v>0</v>
      </c>
      <c r="C79" s="181"/>
    </row>
    <row r="80" spans="1:3" x14ac:dyDescent="0.25">
      <c r="A80" s="12"/>
      <c r="B80" s="169">
        <v>0</v>
      </c>
      <c r="C80" s="181"/>
    </row>
    <row r="81" spans="1:3" x14ac:dyDescent="0.25">
      <c r="A81" s="34" t="s">
        <v>82</v>
      </c>
      <c r="B81" s="172">
        <f>SUM(B74:B80)</f>
        <v>0</v>
      </c>
      <c r="C81" s="181"/>
    </row>
  </sheetData>
  <mergeCells count="1">
    <mergeCell ref="B5:C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223BC-A7A9-4E22-AADE-127027D02692}">
  <sheetPr codeName="Hoja16"/>
  <dimension ref="A1:C81"/>
  <sheetViews>
    <sheetView workbookViewId="0">
      <selection activeCell="D12" sqref="D12"/>
    </sheetView>
  </sheetViews>
  <sheetFormatPr baseColWidth="10" defaultRowHeight="15" x14ac:dyDescent="0.25"/>
  <cols>
    <col min="1" max="1" width="38.28515625" bestFit="1" customWidth="1"/>
    <col min="2" max="2" width="14.140625" style="115" bestFit="1" customWidth="1"/>
    <col min="3" max="3" width="11.85546875" style="10" bestFit="1" customWidth="1"/>
  </cols>
  <sheetData>
    <row r="1" spans="1:3" x14ac:dyDescent="0.25">
      <c r="A1" s="11" t="s">
        <v>31</v>
      </c>
      <c r="B1" s="169"/>
      <c r="C1" s="48"/>
    </row>
    <row r="2" spans="1:3" x14ac:dyDescent="0.25">
      <c r="A2" s="11" t="s">
        <v>32</v>
      </c>
      <c r="B2" s="169"/>
      <c r="C2" s="48"/>
    </row>
    <row r="3" spans="1:3" x14ac:dyDescent="0.25">
      <c r="A3" s="14" t="s">
        <v>91</v>
      </c>
      <c r="B3" s="169"/>
      <c r="C3" s="48"/>
    </row>
    <row r="4" spans="1:3" x14ac:dyDescent="0.25">
      <c r="A4" s="12"/>
      <c r="B4" s="183">
        <v>45070</v>
      </c>
      <c r="C4" s="183">
        <v>45077</v>
      </c>
    </row>
    <row r="5" spans="1:3" ht="15.75" thickBot="1" x14ac:dyDescent="0.3">
      <c r="A5" s="12"/>
      <c r="B5" s="216" t="s">
        <v>20</v>
      </c>
      <c r="C5" s="216"/>
    </row>
    <row r="6" spans="1:3" ht="15.75" thickTop="1" x14ac:dyDescent="0.25">
      <c r="A6" s="15" t="s">
        <v>35</v>
      </c>
      <c r="B6" s="170" t="s">
        <v>36</v>
      </c>
      <c r="C6" s="176" t="s">
        <v>37</v>
      </c>
    </row>
    <row r="7" spans="1:3" x14ac:dyDescent="0.25">
      <c r="A7" s="17"/>
      <c r="B7" s="171"/>
      <c r="C7" s="177"/>
    </row>
    <row r="8" spans="1:3" x14ac:dyDescent="0.25">
      <c r="A8" s="19" t="s">
        <v>27</v>
      </c>
      <c r="B8" s="115">
        <f>SUMIFS(Tabla_Registro_de_movimientos_app.accdb[Importe_Ingreso],Tabla_Registro_de_movimientos_app.accdb[Sucursal],Almacen_Semanal!$B$5,Tabla_Registro_de_movimientos_app.accdb[Detalle de movimiento],Almacen_Semanal!A8,Tabla_Registro_de_movimientos_app.accdb[Fecha],"&gt;"&amp;Almacen_Semanal!$B$4,Tabla_Registro_de_movimientos_app.accdb[Fecha],"&lt;="&amp;Almacen_Semanal!$C$4)</f>
        <v>0</v>
      </c>
      <c r="C8" s="48" t="e">
        <f>B8/$B$11</f>
        <v>#DIV/0!</v>
      </c>
    </row>
    <row r="9" spans="1:3" x14ac:dyDescent="0.25">
      <c r="A9" s="19" t="s">
        <v>22</v>
      </c>
      <c r="B9" s="115">
        <f>SUMIFS(Tabla_Registro_de_movimientos_app.accdb[Importe_Ingreso],Tabla_Registro_de_movimientos_app.accdb[Sucursal],Almacen_Semanal!$B$5,Tabla_Registro_de_movimientos_app.accdb[Detalle de movimiento],Almacen_Semanal!A9,Tabla_Registro_de_movimientos_app.accdb[Fecha],"&gt;"&amp;Almacen_Semanal!$B$4,Tabla_Registro_de_movimientos_app.accdb[Fecha],"&lt;="&amp;Almacen_Semanal!$C$4)</f>
        <v>0</v>
      </c>
      <c r="C9" s="48" t="e">
        <f t="shared" ref="C9:C10" si="0">B9/$B$11</f>
        <v>#DIV/0!</v>
      </c>
    </row>
    <row r="10" spans="1:3" x14ac:dyDescent="0.25">
      <c r="A10" s="19" t="s">
        <v>225</v>
      </c>
      <c r="B10" s="115">
        <f>SUMIFS(Tabla_Registro_de_movimientos_app.accdb[Importe_Ingreso],Tabla_Registro_de_movimientos_app.accdb[Sucursal],Almacen_Semanal!$B$5,Tabla_Registro_de_movimientos_app.accdb[Detalle de movimiento],Almacen_Semanal!A10,Tabla_Registro_de_movimientos_app.accdb[Fecha],"&gt;"&amp;Almacen_Semanal!$B$4,Tabla_Registro_de_movimientos_app.accdb[Fecha],"&lt;="&amp;Almacen_Semanal!$C$4)</f>
        <v>0</v>
      </c>
      <c r="C10" s="48" t="e">
        <f t="shared" si="0"/>
        <v>#DIV/0!</v>
      </c>
    </row>
    <row r="11" spans="1:3" x14ac:dyDescent="0.25">
      <c r="A11" s="22" t="s">
        <v>38</v>
      </c>
      <c r="B11" s="172">
        <f>SUM(B8:B10)</f>
        <v>0</v>
      </c>
      <c r="C11" s="116" t="e">
        <f>SUM(C8:C10)</f>
        <v>#DIV/0!</v>
      </c>
    </row>
    <row r="12" spans="1:3" x14ac:dyDescent="0.25">
      <c r="A12" s="25"/>
      <c r="B12" s="169"/>
      <c r="C12" s="48"/>
    </row>
    <row r="13" spans="1:3" x14ac:dyDescent="0.25">
      <c r="A13" s="26" t="s">
        <v>53</v>
      </c>
      <c r="B13" s="169"/>
      <c r="C13" s="48"/>
    </row>
    <row r="14" spans="1:3" x14ac:dyDescent="0.25">
      <c r="A14" s="19" t="s">
        <v>24</v>
      </c>
      <c r="B14" s="115">
        <f>SUMIFS(Tabla_Registro_de_movimientos_app.accdb[Importe_Inventario_I],Tabla_Registro_de_movimientos_app.accdb[Sucursal],Almacen_Semanal!$B$5,Tabla_Registro_de_movimientos_app.accdb[Detalle de movimiento],Almacen_Semanal!A14,Tabla_Registro_de_movimientos_app.accdb[Fecha],"&gt;"&amp;Almacen_Semanal!$B$4,Tabla_Registro_de_movimientos_app.accdb[Fecha],"&lt;="&amp;Almacen_Semanal!$C$4)</f>
        <v>0</v>
      </c>
      <c r="C14" s="48" t="e">
        <f>B14/$B$22</f>
        <v>#DIV/0!</v>
      </c>
    </row>
    <row r="15" spans="1:3" x14ac:dyDescent="0.25">
      <c r="A15" s="19" t="s">
        <v>21</v>
      </c>
      <c r="B15" s="115">
        <f>SUMIFS(Tabla_Registro_de_movimientos_app.accdb[Importe_Costo],Tabla_Registro_de_movimientos_app.accdb[Sucursal],Almacen_Semanal!$B$5,Tabla_Registro_de_movimientos_app.accdb[Detalle de movimiento],Almacen_Semanal!A15,Tabla_Registro_de_movimientos_app.accdb[Fecha],"&gt;"&amp;Almacen_Semanal!$B$4,Tabla_Registro_de_movimientos_app.accdb[Fecha],"&lt;="&amp;Almacen_Semanal!$C$4)</f>
        <v>0</v>
      </c>
      <c r="C15" s="48" t="e">
        <f t="shared" ref="C15:C21" si="1">B15/$B$22</f>
        <v>#DIV/0!</v>
      </c>
    </row>
    <row r="16" spans="1:3" x14ac:dyDescent="0.25">
      <c r="A16" s="27" t="s">
        <v>54</v>
      </c>
      <c r="B16" s="115">
        <f>SUMIFS(Tabla_Registro_de_movimientos_app.accdb[Importe_Costo],Tabla_Registro_de_movimientos_app.accdb[Sucursal],Almacen_Semanal!$B$5,Tabla_Registro_de_movimientos_app.accdb[Detalle de movimiento],Almacen_Semanal!A16,Tabla_Registro_de_movimientos_app.accdb[Fecha],"&gt;"&amp;Almacen_Semanal!$B$4,Tabla_Registro_de_movimientos_app.accdb[Fecha],"&lt;="&amp;Almacen_Semanal!$C$4)</f>
        <v>0</v>
      </c>
      <c r="C16" s="48" t="e">
        <f t="shared" si="1"/>
        <v>#DIV/0!</v>
      </c>
    </row>
    <row r="17" spans="1:3" x14ac:dyDescent="0.25">
      <c r="A17" s="19" t="s">
        <v>29</v>
      </c>
      <c r="B17" s="115">
        <f>SUMIFS(Tabla_Registro_de_movimientos_app.accdb[Importe_Costo],Tabla_Registro_de_movimientos_app.accdb[Sucursal],Almacen_Semanal!$B$5,Tabla_Registro_de_movimientos_app.accdb[Detalle de movimiento],Almacen_Semanal!A17,Tabla_Registro_de_movimientos_app.accdb[Fecha],"&gt;"&amp;Almacen_Semanal!$B$4,Tabla_Registro_de_movimientos_app.accdb[Fecha],"&lt;="&amp;Almacen_Semanal!$C$4)</f>
        <v>0</v>
      </c>
      <c r="C17" s="48" t="e">
        <f t="shared" si="1"/>
        <v>#DIV/0!</v>
      </c>
    </row>
    <row r="18" spans="1:3" x14ac:dyDescent="0.25">
      <c r="A18" s="19" t="s">
        <v>55</v>
      </c>
      <c r="B18" s="115">
        <f>SUMIFS(Tabla_Registro_de_movimientos_app.accdb[Importe_Costo],Tabla_Registro_de_movimientos_app.accdb[Sucursal],Almacen_Semanal!$B$5,Tabla_Registro_de_movimientos_app.accdb[Detalle de movimiento],Almacen_Semanal!A18,Tabla_Registro_de_movimientos_app.accdb[Fecha],"&gt;"&amp;Almacen_Semanal!$B$4,Tabla_Registro_de_movimientos_app.accdb[Fecha],"&lt;="&amp;Almacen_Semanal!$C$4)</f>
        <v>0</v>
      </c>
      <c r="C18" s="48" t="e">
        <f t="shared" si="1"/>
        <v>#DIV/0!</v>
      </c>
    </row>
    <row r="19" spans="1:3" x14ac:dyDescent="0.25">
      <c r="A19" s="19" t="s">
        <v>56</v>
      </c>
      <c r="B19" s="115">
        <f>SUMIFS(Tabla_Registro_de_movimientos_app.accdb[Importe_Costo],Tabla_Registro_de_movimientos_app.accdb[Sucursal],Almacen_Semanal!$B$5,Tabla_Registro_de_movimientos_app.accdb[Detalle de movimiento],Almacen_Semanal!A19,Tabla_Registro_de_movimientos_app.accdb[Fecha],"&gt;"&amp;Almacen_Semanal!$B$4,Tabla_Registro_de_movimientos_app.accdb[Fecha],"&lt;="&amp;Almacen_Semanal!$C$4)</f>
        <v>0</v>
      </c>
      <c r="C19" s="48" t="e">
        <f t="shared" si="1"/>
        <v>#DIV/0!</v>
      </c>
    </row>
    <row r="20" spans="1:3" x14ac:dyDescent="0.25">
      <c r="A20" s="27" t="s">
        <v>25</v>
      </c>
      <c r="B20" s="115">
        <f>SUMIFS(Tabla_Registro_de_movimientos_app.accdb[Importe_Inventario_F],Tabla_Registro_de_movimientos_app.accdb[Sucursal],Almacen_Semanal!$B$5,Tabla_Registro_de_movimientos_app.accdb[Detalle de movimiento],Almacen_Semanal!A20,Tabla_Registro_de_movimientos_app.accdb[Fecha],"&gt;"&amp;Almacen_Semanal!$B$4,Tabla_Registro_de_movimientos_app.accdb[Fecha],"&lt;="&amp;Almacen_Semanal!$C$4)</f>
        <v>0</v>
      </c>
      <c r="C20" s="48" t="e">
        <f t="shared" si="1"/>
        <v>#DIV/0!</v>
      </c>
    </row>
    <row r="21" spans="1:3" x14ac:dyDescent="0.25">
      <c r="A21" s="27" t="s">
        <v>57</v>
      </c>
      <c r="B21" s="115">
        <f>SUMIFS(Tabla_Registro_de_movimientos_app.accdb[Importe_Costo],Tabla_Registro_de_movimientos_app.accdb[Sucursal],Almacen_Semanal!$B$5,Tabla_Registro_de_movimientos_app.accdb[Detalle de movimiento],Almacen_Semanal!A21,Tabla_Registro_de_movimientos_app.accdb[Fecha],"&gt;"&amp;Almacen_Semanal!$B$4,Tabla_Registro_de_movimientos_app.accdb[Fecha],"&lt;="&amp;Almacen_Semanal!$C$4)</f>
        <v>0</v>
      </c>
      <c r="C21" s="48" t="e">
        <f t="shared" si="1"/>
        <v>#DIV/0!</v>
      </c>
    </row>
    <row r="22" spans="1:3" x14ac:dyDescent="0.25">
      <c r="A22" s="28" t="s">
        <v>58</v>
      </c>
      <c r="B22" s="172">
        <f>SUM(B14:B21)</f>
        <v>0</v>
      </c>
      <c r="C22" s="116">
        <f>SUM(B22)</f>
        <v>0</v>
      </c>
    </row>
    <row r="23" spans="1:3" x14ac:dyDescent="0.25">
      <c r="A23" s="11"/>
      <c r="B23" s="169"/>
      <c r="C23" s="48"/>
    </row>
    <row r="24" spans="1:3" x14ac:dyDescent="0.25">
      <c r="A24" s="28" t="s">
        <v>59</v>
      </c>
      <c r="B24" s="172">
        <f>B11-B22</f>
        <v>0</v>
      </c>
      <c r="C24" s="116">
        <f>B24-B11</f>
        <v>0</v>
      </c>
    </row>
    <row r="25" spans="1:3" x14ac:dyDescent="0.25">
      <c r="A25" s="11"/>
      <c r="B25" s="169"/>
      <c r="C25" s="48"/>
    </row>
    <row r="26" spans="1:3" x14ac:dyDescent="0.25">
      <c r="A26" s="11" t="s">
        <v>39</v>
      </c>
      <c r="B26" s="169"/>
      <c r="C26" s="48"/>
    </row>
    <row r="27" spans="1:3" x14ac:dyDescent="0.25">
      <c r="A27" s="27" t="s">
        <v>30</v>
      </c>
      <c r="B27" s="115">
        <f>SUMIFS(Tabla_Registro_de_movimientos_app.accdb[Importe_Gasto],Tabla_Registro_de_movimientos_app.accdb[Sucursal],Almacen_Semanal!$B$5,Tabla_Registro_de_movimientos_app.accdb[Detalle de movimiento],Almacen_Semanal!A27,Tabla_Registro_de_movimientos_app.accdb[Fecha],"&gt;"&amp;Sucursal!$B$4,Tabla_Registro_de_movimientos_app.accdb[Fecha],"&lt;="&amp;Sucursal!$C$4)</f>
        <v>0</v>
      </c>
      <c r="C27" s="48" t="e">
        <f>B27/$B$46</f>
        <v>#DIV/0!</v>
      </c>
    </row>
    <row r="28" spans="1:3" x14ac:dyDescent="0.25">
      <c r="A28" s="27" t="s">
        <v>26</v>
      </c>
      <c r="B28" s="115">
        <f>SUMIFS(Tabla_Registro_de_movimientos_app.accdb[Importe_Gasto],Tabla_Registro_de_movimientos_app.accdb[Sucursal],Almacen_Semanal!$B$5,Tabla_Registro_de_movimientos_app.accdb[Detalle de movimiento],Almacen_Semanal!A28,Tabla_Registro_de_movimientos_app.accdb[Fecha],"&gt;"&amp;Sucursal!$B$4,Tabla_Registro_de_movimientos_app.accdb[Fecha],"&lt;="&amp;Sucursal!$C$4)</f>
        <v>0</v>
      </c>
      <c r="C28" s="48" t="e">
        <f t="shared" ref="C28:C44" si="2">B28/$B$46</f>
        <v>#DIV/0!</v>
      </c>
    </row>
    <row r="29" spans="1:3" x14ac:dyDescent="0.25">
      <c r="A29" s="27" t="s">
        <v>41</v>
      </c>
      <c r="B29" s="115">
        <f>SUMIFS(Tabla_Registro_de_movimientos_app.accdb[Importe_Gasto],Tabla_Registro_de_movimientos_app.accdb[Sucursal],Almacen_Semanal!$B$5,Tabla_Registro_de_movimientos_app.accdb[Detalle de movimiento],Almacen_Semanal!A29,Tabla_Registro_de_movimientos_app.accdb[Fecha],"&gt;"&amp;Sucursal!$B$4,Tabla_Registro_de_movimientos_app.accdb[Fecha],"&lt;="&amp;Sucursal!$C$4)</f>
        <v>0</v>
      </c>
      <c r="C29" s="48" t="e">
        <f t="shared" si="2"/>
        <v>#DIV/0!</v>
      </c>
    </row>
    <row r="30" spans="1:3" x14ac:dyDescent="0.25">
      <c r="A30" s="27" t="s">
        <v>42</v>
      </c>
      <c r="B30" s="115">
        <f>SUMIFS(Tabla_Registro_de_movimientos_app.accdb[Importe_Gasto],Tabla_Registro_de_movimientos_app.accdb[Sucursal],Almacen_Semanal!$B$5,Tabla_Registro_de_movimientos_app.accdb[Detalle de movimiento],Almacen_Semanal!A30,Tabla_Registro_de_movimientos_app.accdb[Fecha],"&gt;"&amp;Sucursal!$B$4,Tabla_Registro_de_movimientos_app.accdb[Fecha],"&lt;="&amp;Sucursal!$C$4)</f>
        <v>0</v>
      </c>
      <c r="C30" s="48" t="e">
        <f t="shared" si="2"/>
        <v>#DIV/0!</v>
      </c>
    </row>
    <row r="31" spans="1:3" x14ac:dyDescent="0.25">
      <c r="A31" s="27" t="s">
        <v>28</v>
      </c>
      <c r="B31" s="115">
        <f>SUMIFS(Tabla_Registro_de_movimientos_app.accdb[Importe_Gasto],Tabla_Registro_de_movimientos_app.accdb[Sucursal],Almacen_Semanal!$B$5,Tabla_Registro_de_movimientos_app.accdb[Detalle de movimiento],Almacen_Semanal!A31,Tabla_Registro_de_movimientos_app.accdb[Fecha],"&gt;"&amp;Sucursal!$B$4,Tabla_Registro_de_movimientos_app.accdb[Fecha],"&lt;="&amp;Sucursal!$C$4)</f>
        <v>0</v>
      </c>
      <c r="C31" s="48" t="e">
        <f t="shared" si="2"/>
        <v>#DIV/0!</v>
      </c>
    </row>
    <row r="32" spans="1:3" x14ac:dyDescent="0.25">
      <c r="A32" s="27" t="s">
        <v>12</v>
      </c>
      <c r="B32" s="115">
        <f>SUMIFS(Tabla_Registro_de_movimientos_app.accdb[Importe_Gasto],Tabla_Registro_de_movimientos_app.accdb[Sucursal],Almacen_Semanal!$B$5,Tabla_Registro_de_movimientos_app.accdb[Detalle de movimiento],Almacen_Semanal!A32,Tabla_Registro_de_movimientos_app.accdb[Fecha],"&gt;"&amp;Sucursal!$B$4,Tabla_Registro_de_movimientos_app.accdb[Fecha],"&lt;="&amp;Sucursal!$C$4)</f>
        <v>0</v>
      </c>
      <c r="C32" s="48" t="e">
        <f t="shared" si="2"/>
        <v>#DIV/0!</v>
      </c>
    </row>
    <row r="33" spans="1:3" x14ac:dyDescent="0.25">
      <c r="A33" s="27" t="s">
        <v>52</v>
      </c>
      <c r="B33" s="115">
        <f>SUMIFS(Tabla_Registro_de_movimientos_app.accdb[Importe_Gasto],Tabla_Registro_de_movimientos_app.accdb[Sucursal],Almacen_Semanal!$B$5,Tabla_Registro_de_movimientos_app.accdb[Detalle de movimiento],Almacen_Semanal!A33,Tabla_Registro_de_movimientos_app.accdb[Fecha],"&gt;"&amp;Sucursal!$B$4,Tabla_Registro_de_movimientos_app.accdb[Fecha],"&lt;="&amp;Sucursal!$C$4)</f>
        <v>0</v>
      </c>
      <c r="C33" s="48" t="e">
        <f t="shared" si="2"/>
        <v>#DIV/0!</v>
      </c>
    </row>
    <row r="34" spans="1:3" x14ac:dyDescent="0.25">
      <c r="A34" s="27" t="s">
        <v>43</v>
      </c>
      <c r="B34" s="115">
        <f>SUMIFS(Tabla_Registro_de_movimientos_app.accdb[Importe_Gasto],Tabla_Registro_de_movimientos_app.accdb[Sucursal],Almacen_Semanal!$B$5,Tabla_Registro_de_movimientos_app.accdb[Detalle de movimiento],Almacen_Semanal!A34,Tabla_Registro_de_movimientos_app.accdb[Fecha],"&gt;"&amp;Sucursal!$B$4,Tabla_Registro_de_movimientos_app.accdb[Fecha],"&lt;="&amp;Sucursal!$C$4)</f>
        <v>0</v>
      </c>
      <c r="C34" s="48" t="e">
        <f t="shared" si="2"/>
        <v>#DIV/0!</v>
      </c>
    </row>
    <row r="35" spans="1:3" x14ac:dyDescent="0.25">
      <c r="A35" s="27" t="s">
        <v>44</v>
      </c>
      <c r="B35" s="115">
        <f>SUMIFS(Tabla_Registro_de_movimientos_app.accdb[Importe_Gasto],Tabla_Registro_de_movimientos_app.accdb[Sucursal],Almacen_Semanal!$B$5,Tabla_Registro_de_movimientos_app.accdb[Detalle de movimiento],Almacen_Semanal!A35,Tabla_Registro_de_movimientos_app.accdb[Fecha],"&gt;"&amp;Sucursal!$B$4,Tabla_Registro_de_movimientos_app.accdb[Fecha],"&lt;="&amp;Sucursal!$C$4)</f>
        <v>0</v>
      </c>
      <c r="C35" s="48" t="e">
        <f t="shared" si="2"/>
        <v>#DIV/0!</v>
      </c>
    </row>
    <row r="36" spans="1:3" x14ac:dyDescent="0.25">
      <c r="A36" s="27" t="s">
        <v>45</v>
      </c>
      <c r="B36" s="115">
        <f>SUMIFS(Tabla_Registro_de_movimientos_app.accdb[Importe_Gasto],Tabla_Registro_de_movimientos_app.accdb[Sucursal],Almacen_Semanal!$B$5,Tabla_Registro_de_movimientos_app.accdb[Detalle de movimiento],Almacen_Semanal!A36,Tabla_Registro_de_movimientos_app.accdb[Fecha],"&gt;"&amp;Sucursal!$B$4,Tabla_Registro_de_movimientos_app.accdb[Fecha],"&lt;="&amp;Sucursal!$C$4)</f>
        <v>0</v>
      </c>
      <c r="C36" s="48" t="e">
        <f t="shared" si="2"/>
        <v>#DIV/0!</v>
      </c>
    </row>
    <row r="37" spans="1:3" x14ac:dyDescent="0.25">
      <c r="A37" s="27" t="s">
        <v>46</v>
      </c>
      <c r="B37" s="115">
        <f>SUMIFS(Tabla_Registro_de_movimientos_app.accdb[Importe_Gasto],Tabla_Registro_de_movimientos_app.accdb[Sucursal],Almacen_Semanal!$B$5,Tabla_Registro_de_movimientos_app.accdb[Detalle de movimiento],Almacen_Semanal!A37,Tabla_Registro_de_movimientos_app.accdb[Fecha],"&gt;"&amp;Sucursal!$B$4,Tabla_Registro_de_movimientos_app.accdb[Fecha],"&lt;="&amp;Sucursal!$C$4)</f>
        <v>0</v>
      </c>
      <c r="C37" s="48" t="e">
        <f t="shared" si="2"/>
        <v>#DIV/0!</v>
      </c>
    </row>
    <row r="38" spans="1:3" x14ac:dyDescent="0.25">
      <c r="A38" s="27" t="s">
        <v>134</v>
      </c>
      <c r="B38" s="115">
        <f>SUMIFS(Tabla_Registro_de_movimientos_app.accdb[Importe_Gasto],Tabla_Registro_de_movimientos_app.accdb[Sucursal],Almacen_Semanal!$B$5,Tabla_Registro_de_movimientos_app.accdb[Detalle de movimiento],Almacen_Semanal!A38,Tabla_Registro_de_movimientos_app.accdb[Fecha],"&gt;"&amp;Sucursal!$B$4,Tabla_Registro_de_movimientos_app.accdb[Fecha],"&lt;="&amp;Sucursal!$C$4)</f>
        <v>0</v>
      </c>
      <c r="C38" s="48" t="e">
        <f t="shared" si="2"/>
        <v>#DIV/0!</v>
      </c>
    </row>
    <row r="39" spans="1:3" x14ac:dyDescent="0.25">
      <c r="A39" s="27" t="s">
        <v>93</v>
      </c>
      <c r="B39" s="115">
        <f>SUMIFS(Tabla_Registro_de_movimientos_app.accdb[Importe_Gasto],Tabla_Registro_de_movimientos_app.accdb[Sucursal],Almacen_Semanal!$B$5,Tabla_Registro_de_movimientos_app.accdb[Detalle de movimiento],Almacen_Semanal!A39,Tabla_Registro_de_movimientos_app.accdb[Fecha],"&gt;"&amp;Sucursal!$B$4,Tabla_Registro_de_movimientos_app.accdb[Fecha],"&lt;="&amp;Sucursal!$C$4)</f>
        <v>0</v>
      </c>
      <c r="C39" s="48" t="e">
        <f t="shared" si="2"/>
        <v>#DIV/0!</v>
      </c>
    </row>
    <row r="40" spans="1:3" x14ac:dyDescent="0.25">
      <c r="A40" s="27" t="s">
        <v>135</v>
      </c>
      <c r="B40" s="115">
        <f>SUMIFS(Tabla_Registro_de_movimientos_app.accdb[Importe_Gasto],Tabla_Registro_de_movimientos_app.accdb[Sucursal],Almacen_Semanal!$B$5,Tabla_Registro_de_movimientos_app.accdb[Detalle de movimiento],Almacen_Semanal!A40,Tabla_Registro_de_movimientos_app.accdb[Fecha],"&gt;"&amp;Sucursal!$B$4,Tabla_Registro_de_movimientos_app.accdb[Fecha],"&lt;="&amp;Sucursal!$C$4)</f>
        <v>0</v>
      </c>
      <c r="C40" s="48" t="e">
        <f t="shared" si="2"/>
        <v>#DIV/0!</v>
      </c>
    </row>
    <row r="41" spans="1:3" x14ac:dyDescent="0.25">
      <c r="A41" s="27" t="s">
        <v>136</v>
      </c>
      <c r="B41" s="115">
        <f>SUMIFS(Tabla_Registro_de_movimientos_app.accdb[Importe_Gasto],Tabla_Registro_de_movimientos_app.accdb[Sucursal],Almacen_Semanal!$B$5,Tabla_Registro_de_movimientos_app.accdb[Detalle de movimiento],Almacen_Semanal!A41,Tabla_Registro_de_movimientos_app.accdb[Fecha],"&gt;"&amp;Sucursal!$B$4,Tabla_Registro_de_movimientos_app.accdb[Fecha],"&lt;="&amp;Sucursal!$C$4)</f>
        <v>0</v>
      </c>
      <c r="C41" s="48" t="e">
        <f t="shared" si="2"/>
        <v>#DIV/0!</v>
      </c>
    </row>
    <row r="42" spans="1:3" x14ac:dyDescent="0.25">
      <c r="A42" s="27" t="s">
        <v>50</v>
      </c>
      <c r="B42" s="115">
        <f>SUMIFS(Tabla_Registro_de_movimientos_app.accdb[Importe_Gasto],Tabla_Registro_de_movimientos_app.accdb[Sucursal],Almacen_Semanal!$B$5,Tabla_Registro_de_movimientos_app.accdb[Detalle de movimiento],Almacen_Semanal!A42,Tabla_Registro_de_movimientos_app.accdb[Fecha],"&gt;"&amp;Sucursal!$B$4,Tabla_Registro_de_movimientos_app.accdb[Fecha],"&lt;="&amp;Sucursal!$C$4)</f>
        <v>0</v>
      </c>
      <c r="C42" s="48" t="e">
        <f t="shared" si="2"/>
        <v>#DIV/0!</v>
      </c>
    </row>
    <row r="43" spans="1:3" x14ac:dyDescent="0.25">
      <c r="A43" s="27" t="s">
        <v>48</v>
      </c>
      <c r="B43" s="115">
        <f>SUMIFS(Tabla_Registro_de_movimientos_app.accdb[Importe_Gasto],Tabla_Registro_de_movimientos_app.accdb[Sucursal],Almacen_Semanal!$B$5,Tabla_Registro_de_movimientos_app.accdb[Detalle de movimiento],Almacen_Semanal!A43,Tabla_Registro_de_movimientos_app.accdb[Fecha],"&gt;"&amp;Sucursal!$B$4,Tabla_Registro_de_movimientos_app.accdb[Fecha],"&lt;="&amp;Sucursal!$C$4)</f>
        <v>0</v>
      </c>
      <c r="C43" s="48" t="e">
        <f t="shared" si="2"/>
        <v>#DIV/0!</v>
      </c>
    </row>
    <row r="44" spans="1:3" x14ac:dyDescent="0.25">
      <c r="A44" s="27" t="s">
        <v>49</v>
      </c>
      <c r="B44" s="115">
        <f>SUMIFS(Tabla_Registro_de_movimientos_app.accdb[Importe_Gasto],Tabla_Registro_de_movimientos_app.accdb[Sucursal],Almacen_Semanal!$B$5,Tabla_Registro_de_movimientos_app.accdb[Detalle de movimiento],Almacen_Semanal!A44,Tabla_Registro_de_movimientos_app.accdb[Fecha],"&gt;"&amp;Sucursal!$B$4,Tabla_Registro_de_movimientos_app.accdb[Fecha],"&lt;="&amp;Sucursal!$C$4)</f>
        <v>0</v>
      </c>
      <c r="C44" s="48" t="e">
        <f t="shared" si="2"/>
        <v>#DIV/0!</v>
      </c>
    </row>
    <row r="45" spans="1:3" x14ac:dyDescent="0.25">
      <c r="A45" s="27"/>
      <c r="C45" s="48"/>
    </row>
    <row r="46" spans="1:3" x14ac:dyDescent="0.25">
      <c r="A46" s="28" t="s">
        <v>51</v>
      </c>
      <c r="B46" s="172">
        <f>SUM(B27:B45)</f>
        <v>0</v>
      </c>
      <c r="C46" s="116" t="e">
        <f>SUM(C27:C45)</f>
        <v>#DIV/0!</v>
      </c>
    </row>
    <row r="47" spans="1:3" x14ac:dyDescent="0.25">
      <c r="A47" s="27"/>
      <c r="B47" s="169"/>
      <c r="C47" s="48"/>
    </row>
    <row r="48" spans="1:3" x14ac:dyDescent="0.25">
      <c r="A48" s="11" t="s">
        <v>62</v>
      </c>
      <c r="B48" s="169"/>
      <c r="C48" s="48"/>
    </row>
    <row r="49" spans="1:3" x14ac:dyDescent="0.25">
      <c r="A49" s="27" t="s">
        <v>85</v>
      </c>
      <c r="B49" s="115">
        <f>SUMIFS(Tabla_Registro_de_movimientos_app.accdb[Importe_Gasto],Tabla_Registro_de_movimientos_app.accdb[Sucursal],Almacen_Semanal!$B$5,Tabla_Registro_de_movimientos_app.accdb[Detalle de movimiento],Almacen_Semanal!A49,Tabla_Registro_de_movimientos_app.accdb[Fecha],"&gt;"&amp;Sucursal!$B$4,Tabla_Registro_de_movimientos_app.accdb[Fecha],"&lt;="&amp;Sucursal!$C$4)</f>
        <v>0</v>
      </c>
      <c r="C49" s="48" t="e">
        <f>B49/$B$62</f>
        <v>#DIV/0!</v>
      </c>
    </row>
    <row r="50" spans="1:3" x14ac:dyDescent="0.25">
      <c r="A50" s="27" t="s">
        <v>63</v>
      </c>
      <c r="B50" s="115">
        <f>SUMIFS(Tabla_Registro_de_movimientos_app.accdb[Importe_Gasto],Tabla_Registro_de_movimientos_app.accdb[Sucursal],Almacen_Semanal!$B$5,Tabla_Registro_de_movimientos_app.accdb[Detalle de movimiento],Almacen_Semanal!A50,Tabla_Registro_de_movimientos_app.accdb[Fecha],"&gt;"&amp;Sucursal!$B$4,Tabla_Registro_de_movimientos_app.accdb[Fecha],"&lt;="&amp;Sucursal!$C$4)</f>
        <v>0</v>
      </c>
      <c r="C50" s="48" t="e">
        <f t="shared" ref="C50:C61" si="3">B50/$B$62</f>
        <v>#DIV/0!</v>
      </c>
    </row>
    <row r="51" spans="1:3" x14ac:dyDescent="0.25">
      <c r="A51" s="27" t="s">
        <v>64</v>
      </c>
      <c r="B51" s="115">
        <f>SUMIFS(Tabla_Registro_de_movimientos_app.accdb[Importe_Gasto],Tabla_Registro_de_movimientos_app.accdb[Sucursal],Almacen_Semanal!$B$5,Tabla_Registro_de_movimientos_app.accdb[Detalle de movimiento],Almacen_Semanal!A51,Tabla_Registro_de_movimientos_app.accdb[Fecha],"&gt;"&amp;Sucursal!$B$4,Tabla_Registro_de_movimientos_app.accdb[Fecha],"&lt;="&amp;Sucursal!$C$4)</f>
        <v>0</v>
      </c>
      <c r="C51" s="48" t="e">
        <f t="shared" si="3"/>
        <v>#DIV/0!</v>
      </c>
    </row>
    <row r="52" spans="1:3" x14ac:dyDescent="0.25">
      <c r="A52" s="27" t="s">
        <v>65</v>
      </c>
      <c r="B52" s="115">
        <f>SUMIFS(Tabla_Registro_de_movimientos_app.accdb[Importe_Gasto],Tabla_Registro_de_movimientos_app.accdb[Sucursal],Almacen_Semanal!$B$5,Tabla_Registro_de_movimientos_app.accdb[Detalle de movimiento],Almacen_Semanal!A52,Tabla_Registro_de_movimientos_app.accdb[Fecha],"&gt;"&amp;Sucursal!$B$4,Tabla_Registro_de_movimientos_app.accdb[Fecha],"&lt;="&amp;Sucursal!$C$4)</f>
        <v>0</v>
      </c>
      <c r="C52" s="48" t="e">
        <f t="shared" si="3"/>
        <v>#DIV/0!</v>
      </c>
    </row>
    <row r="53" spans="1:3" x14ac:dyDescent="0.25">
      <c r="A53" s="27" t="s">
        <v>66</v>
      </c>
      <c r="B53" s="115">
        <f>SUMIFS(Tabla_Registro_de_movimientos_app.accdb[Importe_Gasto],Tabla_Registro_de_movimientos_app.accdb[Sucursal],Almacen_Semanal!$B$5,Tabla_Registro_de_movimientos_app.accdb[Detalle de movimiento],Almacen_Semanal!A53,Tabla_Registro_de_movimientos_app.accdb[Fecha],"&gt;"&amp;Sucursal!$B$4,Tabla_Registro_de_movimientos_app.accdb[Fecha],"&lt;="&amp;Sucursal!$C$4)</f>
        <v>0</v>
      </c>
      <c r="C53" s="48" t="e">
        <f t="shared" si="3"/>
        <v>#DIV/0!</v>
      </c>
    </row>
    <row r="54" spans="1:3" x14ac:dyDescent="0.25">
      <c r="A54" s="27" t="s">
        <v>67</v>
      </c>
      <c r="B54" s="115">
        <f>SUMIFS(Tabla_Registro_de_movimientos_app.accdb[Importe_Gasto],Tabla_Registro_de_movimientos_app.accdb[Sucursal],Almacen_Semanal!$B$5,Tabla_Registro_de_movimientos_app.accdb[Detalle de movimiento],Almacen_Semanal!A54,Tabla_Registro_de_movimientos_app.accdb[Fecha],"&gt;"&amp;Sucursal!$B$4,Tabla_Registro_de_movimientos_app.accdb[Fecha],"&lt;="&amp;Sucursal!$C$4)</f>
        <v>0</v>
      </c>
      <c r="C54" s="48" t="e">
        <f t="shared" si="3"/>
        <v>#DIV/0!</v>
      </c>
    </row>
    <row r="55" spans="1:3" x14ac:dyDescent="0.25">
      <c r="A55" s="27" t="s">
        <v>68</v>
      </c>
      <c r="B55" s="115">
        <f>SUMIFS(Tabla_Registro_de_movimientos_app.accdb[Importe_Gasto],Tabla_Registro_de_movimientos_app.accdb[Sucursal],Almacen_Semanal!$B$5,Tabla_Registro_de_movimientos_app.accdb[Detalle de movimiento],Almacen_Semanal!A55,Tabla_Registro_de_movimientos_app.accdb[Fecha],"&gt;"&amp;Sucursal!$B$4,Tabla_Registro_de_movimientos_app.accdb[Fecha],"&lt;="&amp;Sucursal!$C$4)</f>
        <v>0</v>
      </c>
      <c r="C55" s="48" t="e">
        <f t="shared" si="3"/>
        <v>#DIV/0!</v>
      </c>
    </row>
    <row r="56" spans="1:3" x14ac:dyDescent="0.25">
      <c r="A56" s="27" t="s">
        <v>69</v>
      </c>
      <c r="B56" s="115">
        <f>SUMIFS(Tabla_Registro_de_movimientos_app.accdb[Importe_Gasto],Tabla_Registro_de_movimientos_app.accdb[Sucursal],Almacen_Semanal!$B$5,Tabla_Registro_de_movimientos_app.accdb[Detalle de movimiento],Almacen_Semanal!A56,Tabla_Registro_de_movimientos_app.accdb[Fecha],"&gt;"&amp;Sucursal!$B$4,Tabla_Registro_de_movimientos_app.accdb[Fecha],"&lt;="&amp;Sucursal!$C$4)</f>
        <v>0</v>
      </c>
      <c r="C56" s="48" t="e">
        <f t="shared" si="3"/>
        <v>#DIV/0!</v>
      </c>
    </row>
    <row r="57" spans="1:3" x14ac:dyDescent="0.25">
      <c r="A57" s="27" t="s">
        <v>70</v>
      </c>
      <c r="B57" s="115">
        <f>SUMIFS(Tabla_Registro_de_movimientos_app.accdb[Importe_Gasto],Tabla_Registro_de_movimientos_app.accdb[Sucursal],Almacen_Semanal!$B$5,Tabla_Registro_de_movimientos_app.accdb[Detalle de movimiento],Almacen_Semanal!A57,Tabla_Registro_de_movimientos_app.accdb[Fecha],"&gt;"&amp;Sucursal!$B$4,Tabla_Registro_de_movimientos_app.accdb[Fecha],"&lt;="&amp;Sucursal!$C$4)</f>
        <v>0</v>
      </c>
      <c r="C57" s="48" t="e">
        <f t="shared" si="3"/>
        <v>#DIV/0!</v>
      </c>
    </row>
    <row r="58" spans="1:3" x14ac:dyDescent="0.25">
      <c r="A58" s="27" t="s">
        <v>71</v>
      </c>
      <c r="B58" s="115">
        <f>SUMIFS(Tabla_Registro_de_movimientos_app.accdb[Importe_Gasto],Tabla_Registro_de_movimientos_app.accdb[Sucursal],Almacen_Semanal!$B$5,Tabla_Registro_de_movimientos_app.accdb[Detalle de movimiento],Almacen_Semanal!A58,Tabla_Registro_de_movimientos_app.accdb[Fecha],"&gt;"&amp;Sucursal!$B$4,Tabla_Registro_de_movimientos_app.accdb[Fecha],"&lt;="&amp;Sucursal!$C$4)</f>
        <v>0</v>
      </c>
      <c r="C58" s="48" t="e">
        <f t="shared" si="3"/>
        <v>#DIV/0!</v>
      </c>
    </row>
    <row r="59" spans="1:3" x14ac:dyDescent="0.25">
      <c r="A59" s="27" t="s">
        <v>72</v>
      </c>
      <c r="B59" s="115">
        <f>SUMIFS(Tabla_Registro_de_movimientos_app.accdb[Importe_Gasto],Tabla_Registro_de_movimientos_app.accdb[Sucursal],Almacen_Semanal!$B$5,Tabla_Registro_de_movimientos_app.accdb[Detalle de movimiento],Almacen_Semanal!A59,Tabla_Registro_de_movimientos_app.accdb[Fecha],"&gt;"&amp;Sucursal!$B$4,Tabla_Registro_de_movimientos_app.accdb[Fecha],"&lt;="&amp;Sucursal!$C$4)</f>
        <v>0</v>
      </c>
      <c r="C59" s="48" t="e">
        <f t="shared" si="3"/>
        <v>#DIV/0!</v>
      </c>
    </row>
    <row r="60" spans="1:3" x14ac:dyDescent="0.25">
      <c r="A60" s="27" t="s">
        <v>73</v>
      </c>
      <c r="B60" s="115">
        <f>SUMIFS(Tabla_Registro_de_movimientos_app.accdb[Importe_Gasto],Tabla_Registro_de_movimientos_app.accdb[Sucursal],Almacen_Semanal!$B$5,Tabla_Registro_de_movimientos_app.accdb[Detalle de movimiento],Almacen_Semanal!A60,Tabla_Registro_de_movimientos_app.accdb[Fecha],"&gt;"&amp;Sucursal!$B$4,Tabla_Registro_de_movimientos_app.accdb[Fecha],"&lt;="&amp;Sucursal!$C$4)</f>
        <v>0</v>
      </c>
      <c r="C60" s="48" t="e">
        <f t="shared" si="3"/>
        <v>#DIV/0!</v>
      </c>
    </row>
    <row r="61" spans="1:3" x14ac:dyDescent="0.25">
      <c r="A61" s="27" t="s">
        <v>74</v>
      </c>
      <c r="B61" s="115">
        <f>SUMIFS(Tabla_Registro_de_movimientos_app.accdb[Importe_Gasto],Tabla_Registro_de_movimientos_app.accdb[Sucursal],Almacen_Semanal!$B$5,Tabla_Registro_de_movimientos_app.accdb[Detalle de movimiento],Almacen_Semanal!A61,Tabla_Registro_de_movimientos_app.accdb[Fecha],"&gt;"&amp;Sucursal!$B$4,Tabla_Registro_de_movimientos_app.accdb[Fecha],"&lt;="&amp;Sucursal!$C$4)</f>
        <v>0</v>
      </c>
      <c r="C61" s="48" t="e">
        <f t="shared" si="3"/>
        <v>#DIV/0!</v>
      </c>
    </row>
    <row r="62" spans="1:3" x14ac:dyDescent="0.25">
      <c r="A62" s="28" t="s">
        <v>75</v>
      </c>
      <c r="B62" s="172">
        <f>SUM(B49:B61)</f>
        <v>0</v>
      </c>
      <c r="C62" s="178" t="e">
        <f>SUM(C49:C61)</f>
        <v>#DIV/0!</v>
      </c>
    </row>
    <row r="63" spans="1:3" x14ac:dyDescent="0.25">
      <c r="A63" s="11"/>
      <c r="B63" s="173"/>
      <c r="C63" s="48"/>
    </row>
    <row r="64" spans="1:3" x14ac:dyDescent="0.25">
      <c r="A64" s="29" t="s">
        <v>95</v>
      </c>
      <c r="B64" s="174">
        <f>B24-B46-B62</f>
        <v>0</v>
      </c>
      <c r="C64" s="179" t="e">
        <f>B64/B11</f>
        <v>#DIV/0!</v>
      </c>
    </row>
    <row r="65" spans="1:3" x14ac:dyDescent="0.25">
      <c r="A65" s="12"/>
      <c r="B65" s="169"/>
      <c r="C65" s="48"/>
    </row>
    <row r="66" spans="1:3" x14ac:dyDescent="0.25">
      <c r="A66" s="11" t="s">
        <v>96</v>
      </c>
      <c r="B66" s="169"/>
      <c r="C66" s="48"/>
    </row>
    <row r="67" spans="1:3" x14ac:dyDescent="0.25">
      <c r="A67" s="27" t="s">
        <v>77</v>
      </c>
      <c r="B67" s="169" t="e">
        <f>Matriz!C50</f>
        <v>#DIV/0!</v>
      </c>
      <c r="C67" s="48"/>
    </row>
    <row r="68" spans="1:3" x14ac:dyDescent="0.25">
      <c r="A68" s="27" t="s">
        <v>78</v>
      </c>
      <c r="B68" s="169"/>
      <c r="C68" s="48"/>
    </row>
    <row r="69" spans="1:3" x14ac:dyDescent="0.25">
      <c r="A69" s="28" t="s">
        <v>79</v>
      </c>
      <c r="B69" s="172" t="e">
        <f>SUM(B67:B68)</f>
        <v>#DIV/0!</v>
      </c>
      <c r="C69" s="116" t="e">
        <f>B69/B11</f>
        <v>#DIV/0!</v>
      </c>
    </row>
    <row r="70" spans="1:3" x14ac:dyDescent="0.25">
      <c r="A70" s="12"/>
      <c r="B70" s="169"/>
      <c r="C70" s="48"/>
    </row>
    <row r="71" spans="1:3" x14ac:dyDescent="0.25">
      <c r="A71" s="31" t="s">
        <v>80</v>
      </c>
      <c r="B71" s="175" t="e">
        <f>B64-B69</f>
        <v>#DIV/0!</v>
      </c>
      <c r="C71" s="180" t="e">
        <f>B71/B11</f>
        <v>#DIV/0!</v>
      </c>
    </row>
    <row r="72" spans="1:3" x14ac:dyDescent="0.25">
      <c r="A72" s="12"/>
      <c r="B72" s="169"/>
      <c r="C72" s="48"/>
    </row>
    <row r="73" spans="1:3" x14ac:dyDescent="0.25">
      <c r="A73" s="17" t="s">
        <v>81</v>
      </c>
      <c r="B73" s="169"/>
      <c r="C73" s="48"/>
    </row>
    <row r="74" spans="1:3" x14ac:dyDescent="0.25">
      <c r="A74" s="12"/>
      <c r="B74" s="169">
        <v>0</v>
      </c>
      <c r="C74" s="48"/>
    </row>
    <row r="75" spans="1:3" x14ac:dyDescent="0.25">
      <c r="A75" s="12"/>
      <c r="B75" s="169">
        <v>0</v>
      </c>
      <c r="C75" s="48"/>
    </row>
    <row r="76" spans="1:3" x14ac:dyDescent="0.25">
      <c r="A76" s="12"/>
      <c r="B76" s="169">
        <v>0</v>
      </c>
      <c r="C76" s="48"/>
    </row>
    <row r="77" spans="1:3" x14ac:dyDescent="0.25">
      <c r="A77" s="27"/>
      <c r="B77" s="169">
        <v>0</v>
      </c>
      <c r="C77" s="48"/>
    </row>
    <row r="78" spans="1:3" x14ac:dyDescent="0.25">
      <c r="A78" s="27"/>
      <c r="B78" s="169">
        <v>0</v>
      </c>
      <c r="C78" s="48"/>
    </row>
    <row r="79" spans="1:3" x14ac:dyDescent="0.25">
      <c r="A79" s="12"/>
      <c r="B79" s="169">
        <v>0</v>
      </c>
      <c r="C79" s="181"/>
    </row>
    <row r="80" spans="1:3" x14ac:dyDescent="0.25">
      <c r="A80" s="12"/>
      <c r="B80" s="169">
        <v>0</v>
      </c>
      <c r="C80" s="181"/>
    </row>
    <row r="81" spans="1:3" x14ac:dyDescent="0.25">
      <c r="A81" s="34" t="s">
        <v>82</v>
      </c>
      <c r="B81" s="172">
        <f>SUM(B74:B80)</f>
        <v>0</v>
      </c>
      <c r="C81" s="181"/>
    </row>
  </sheetData>
  <mergeCells count="1">
    <mergeCell ref="B5:C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K77"/>
  <sheetViews>
    <sheetView workbookViewId="0">
      <selection activeCell="G4" sqref="G4:H5"/>
    </sheetView>
  </sheetViews>
  <sheetFormatPr baseColWidth="10" defaultRowHeight="15" x14ac:dyDescent="0.25"/>
  <cols>
    <col min="1" max="1" width="38.28515625" bestFit="1" customWidth="1"/>
    <col min="2" max="2" width="12.28515625" bestFit="1" customWidth="1"/>
  </cols>
  <sheetData>
    <row r="1" spans="1:8" x14ac:dyDescent="0.25">
      <c r="A1" s="11" t="s">
        <v>31</v>
      </c>
      <c r="B1" s="12"/>
      <c r="C1" s="13"/>
      <c r="D1" s="12"/>
      <c r="E1" s="13"/>
      <c r="F1" s="12"/>
      <c r="G1" s="12"/>
      <c r="H1" s="13"/>
    </row>
    <row r="2" spans="1:8" x14ac:dyDescent="0.25">
      <c r="A2" s="11" t="s">
        <v>32</v>
      </c>
      <c r="B2" s="12"/>
      <c r="C2" s="13"/>
      <c r="D2" s="12"/>
      <c r="E2" s="13"/>
      <c r="F2" s="12"/>
      <c r="G2" s="12"/>
      <c r="H2" s="13"/>
    </row>
    <row r="3" spans="1:8" x14ac:dyDescent="0.25">
      <c r="A3" s="14" t="s">
        <v>97</v>
      </c>
      <c r="B3" s="12"/>
      <c r="C3" s="13"/>
      <c r="D3" s="12"/>
      <c r="E3" s="13"/>
      <c r="F3" s="12"/>
      <c r="G3" s="12"/>
      <c r="H3" s="13"/>
    </row>
    <row r="4" spans="1:8" x14ac:dyDescent="0.25">
      <c r="A4" s="12"/>
      <c r="B4" s="183">
        <v>45049</v>
      </c>
      <c r="C4" s="183">
        <v>45077</v>
      </c>
      <c r="D4" s="12"/>
      <c r="E4" s="13"/>
      <c r="F4" s="12"/>
      <c r="G4" s="223" t="s">
        <v>245</v>
      </c>
      <c r="H4" s="223"/>
    </row>
    <row r="5" spans="1:8" x14ac:dyDescent="0.25">
      <c r="A5" s="12"/>
      <c r="B5" s="219" t="s">
        <v>229</v>
      </c>
      <c r="C5" s="219"/>
      <c r="D5" s="220" t="s">
        <v>23</v>
      </c>
      <c r="E5" s="220"/>
      <c r="F5" s="12"/>
      <c r="G5" s="223"/>
      <c r="H5" s="223"/>
    </row>
    <row r="6" spans="1:8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2"/>
      <c r="G6" s="35" t="s">
        <v>36</v>
      </c>
      <c r="H6" s="35" t="s">
        <v>37</v>
      </c>
    </row>
    <row r="7" spans="1:8" x14ac:dyDescent="0.25">
      <c r="A7" s="19" t="s">
        <v>27</v>
      </c>
      <c r="B7" s="6">
        <f>SUMIFS(Tabla_Registro_de_movimientos_app.accdb[Importe_Ingreso],Tabla_Registro_de_movimientos_app.accdb[Sucursal],Produccion!$B$5,Tabla_Registro_de_movimientos_app.accdb[Detalle de movimiento],Produccion!A7,Tabla_Registro_de_movimientos_app.accdb[Fecha],"&gt;"&amp;Produccion!$B$4,Tabla_Registro_de_movimientos_app.accdb[Fecha],"&lt;="&amp;Produccion!$C$4)</f>
        <v>0</v>
      </c>
      <c r="C7" s="21">
        <v>1</v>
      </c>
      <c r="D7" s="6">
        <f>SUMIFS(Tabla_Registro_de_movimientos_app.accdb[Importe_Ingreso],Tabla_Registro_de_movimientos_app.accdb[Sucursal],Produccion!$D$5,Tabla_Registro_de_movimientos_app.accdb[Detalle de movimiento],Produccion!A7,Tabla_Registro_de_movimientos_app.accdb[Fecha],"&gt;"&amp;Produccion!$B$4,Tabla_Registro_de_movimientos_app.accdb[Fecha],"&lt;="&amp;Produccion!$C$4)</f>
        <v>0</v>
      </c>
      <c r="E7" s="48" t="e">
        <f>D7/$D$10</f>
        <v>#DIV/0!</v>
      </c>
      <c r="F7" s="12"/>
      <c r="G7" s="36">
        <f>B7+D7</f>
        <v>0</v>
      </c>
      <c r="H7" s="37" t="e">
        <f>G7/$G$10</f>
        <v>#DIV/0!</v>
      </c>
    </row>
    <row r="8" spans="1:8" x14ac:dyDescent="0.25">
      <c r="A8" s="19" t="s">
        <v>98</v>
      </c>
      <c r="B8" s="6">
        <f>SUMIFS(Tabla_Registro_de_movimientos_app.accdb[Importe_Ingreso],Tabla_Registro_de_movimientos_app.accdb[Sucursal],Produccion!$B$5,Tabla_Registro_de_movimientos_app.accdb[Detalle de movimiento],Produccion!A8,Tabla_Registro_de_movimientos_app.accdb[Fecha],"&gt;"&amp;Produccion!$B$4,Tabla_Registro_de_movimientos_app.accdb[Fecha],"&lt;="&amp;Produccion!$C$4)</f>
        <v>0</v>
      </c>
      <c r="C8" s="21">
        <v>0</v>
      </c>
      <c r="D8" s="6">
        <f>SUMIFS(Tabla_Registro_de_movimientos_app.accdb[Importe_Ingreso],Tabla_Registro_de_movimientos_app.accdb[Sucursal],Produccion!$D$5,Tabla_Registro_de_movimientos_app.accdb[Detalle de movimiento],Produccion!A8,Tabla_Registro_de_movimientos_app.accdb[Fecha],"&gt;"&amp;Produccion!$B$4,Tabla_Registro_de_movimientos_app.accdb[Fecha],"&lt;="&amp;Produccion!$C$4)</f>
        <v>0</v>
      </c>
      <c r="E8" s="48" t="e">
        <f t="shared" ref="E8:E9" si="0">D8/$D$10</f>
        <v>#DIV/0!</v>
      </c>
      <c r="F8" s="12"/>
      <c r="G8" s="36">
        <f t="shared" ref="G8:G9" si="1">B8+D8</f>
        <v>0</v>
      </c>
      <c r="H8" s="37" t="e">
        <f t="shared" ref="H8:H9" si="2">G8/$G$10</f>
        <v>#DIV/0!</v>
      </c>
    </row>
    <row r="9" spans="1:8" x14ac:dyDescent="0.25">
      <c r="A9" s="19" t="s">
        <v>99</v>
      </c>
      <c r="B9" s="6">
        <f>SUMIFS(Tabla_Registro_de_movimientos_app.accdb[Importe_Ingreso],Tabla_Registro_de_movimientos_app.accdb[Sucursal],Produccion!$B$5,Tabla_Registro_de_movimientos_app.accdb[Detalle de movimiento],Produccion!A9,Tabla_Registro_de_movimientos_app.accdb[Fecha],"&gt;"&amp;Produccion!$B$4,Tabla_Registro_de_movimientos_app.accdb[Fecha],"&lt;="&amp;Produccion!$C$4)</f>
        <v>0</v>
      </c>
      <c r="C9" s="21">
        <v>0</v>
      </c>
      <c r="D9" s="6">
        <f>SUMIFS(Tabla_Registro_de_movimientos_app.accdb[Importe_Ingreso],Tabla_Registro_de_movimientos_app.accdb[Sucursal],Produccion!$D$5,Tabla_Registro_de_movimientos_app.accdb[Detalle de movimiento],Produccion!A9,Tabla_Registro_de_movimientos_app.accdb[Fecha],"&gt;"&amp;Produccion!$B$4,Tabla_Registro_de_movimientos_app.accdb[Fecha],"&lt;="&amp;Produccion!$C$4)</f>
        <v>0</v>
      </c>
      <c r="E9" s="48" t="e">
        <f t="shared" si="0"/>
        <v>#DIV/0!</v>
      </c>
      <c r="F9" s="12"/>
      <c r="G9" s="36">
        <f t="shared" si="1"/>
        <v>0</v>
      </c>
      <c r="H9" s="37" t="e">
        <f t="shared" si="2"/>
        <v>#DIV/0!</v>
      </c>
    </row>
    <row r="10" spans="1:8" x14ac:dyDescent="0.25">
      <c r="A10" s="22" t="s">
        <v>38</v>
      </c>
      <c r="B10" s="23">
        <f>SUM(B7:B9)</f>
        <v>0</v>
      </c>
      <c r="C10" s="24" t="e">
        <f>B10/$G$10</f>
        <v>#DIV/0!</v>
      </c>
      <c r="D10" s="23">
        <f>SUM(D7:D9)</f>
        <v>0</v>
      </c>
      <c r="E10" s="24" t="e">
        <f>D10/$G$10</f>
        <v>#DIV/0!</v>
      </c>
      <c r="F10" s="12"/>
      <c r="G10" s="38">
        <f>SUM(G7:G9)</f>
        <v>0</v>
      </c>
      <c r="H10" s="39" t="e">
        <f>C10+E10</f>
        <v>#DIV/0!</v>
      </c>
    </row>
    <row r="11" spans="1:8" x14ac:dyDescent="0.25">
      <c r="A11" s="25"/>
      <c r="B11" s="12"/>
      <c r="C11" s="13"/>
      <c r="D11" s="12"/>
      <c r="E11" s="13"/>
      <c r="F11" s="12"/>
      <c r="G11" s="12"/>
    </row>
    <row r="12" spans="1:8" x14ac:dyDescent="0.25">
      <c r="A12" s="26" t="s">
        <v>53</v>
      </c>
      <c r="B12" s="12"/>
      <c r="C12" s="13"/>
      <c r="D12" s="12"/>
      <c r="E12" s="13"/>
      <c r="F12" s="12"/>
      <c r="G12" s="12"/>
    </row>
    <row r="13" spans="1:8" x14ac:dyDescent="0.25">
      <c r="A13" s="19" t="s">
        <v>24</v>
      </c>
      <c r="B13">
        <f>SUMIFS(Tabla_Registro_de_movimientos_app.accdb[Importe_Inventario_I],Tabla_Registro_de_movimientos_app.accdb[Sucursal],Produccion!$B$5,Tabla_Registro_de_movimientos_app.accdb[Detalle de movimiento],Produccion!A13,Tabla_Registro_de_movimientos_app.accdb[Fecha],"&gt;"&amp;Produccion!$B$4,Tabla_Registro_de_movimientos_app.accdb[Fecha],"&lt;="&amp;Produccion!$C$4)</f>
        <v>0</v>
      </c>
      <c r="C13" s="48" t="e">
        <f>B13/$B$21</f>
        <v>#DIV/0!</v>
      </c>
      <c r="D13">
        <f>SUMIFS(Tabla_Registro_de_movimientos_app.accdb[Importe_Inventario_I],Tabla_Registro_de_movimientos_app.accdb[Sucursal],Produccion!$D$5,Tabla_Registro_de_movimientos_app.accdb[Detalle de movimiento],Produccion!C13,Tabla_Registro_de_movimientos_app.accdb[Fecha],"&gt;"&amp;Produccion!$B$4,Tabla_Registro_de_movimientos_app.accdb[Fecha],"&lt;="&amp;Produccion!$C$4)</f>
        <v>0</v>
      </c>
      <c r="E13" s="13" t="e">
        <f>D13/$D$21</f>
        <v>#DIV/0!</v>
      </c>
      <c r="F13" s="12"/>
      <c r="G13" s="36">
        <f t="shared" ref="G13:G20" si="3">B13+D13</f>
        <v>0</v>
      </c>
      <c r="H13" s="49" t="e">
        <f>G13/$G$21</f>
        <v>#DIV/0!</v>
      </c>
    </row>
    <row r="14" spans="1:8" x14ac:dyDescent="0.25">
      <c r="A14" s="19" t="s">
        <v>21</v>
      </c>
      <c r="B14" s="115">
        <f>SUMIFS(Tabla_Registro_de_movimientos_app.accdb[Importe_Costo],Tabla_Registro_de_movimientos_app.accdb[Sucursal],Produccion!$B$5,Tabla_Registro_de_movimientos_app.accdb[Detalle de movimiento],Produccion!A14,Tabla_Registro_de_movimientos_app.accdb[Fecha],"&gt;"&amp;Produccion!$B$4,Tabla_Registro_de_movimientos_app.accdb[Fecha],"&lt;="&amp;Produccion!$C$4)</f>
        <v>0</v>
      </c>
      <c r="C14" s="48" t="e">
        <f t="shared" ref="C14:C20" si="4">B14/$B$21</f>
        <v>#DIV/0!</v>
      </c>
      <c r="D14">
        <f>SUMIFS(Tabla_Registro_de_movimientos_app.accdb[Importe_Costo],Tabla_Registro_de_movimientos_app.accdb[Sucursal],Produccion!$D$5,Tabla_Registro_de_movimientos_app.accdb[Detalle de movimiento],Produccion!C14,Tabla_Registro_de_movimientos_app.accdb[Fecha],"&gt;"&amp;Produccion!$B$4,Tabla_Registro_de_movimientos_app.accdb[Fecha],"&lt;="&amp;Produccion!$C$4)</f>
        <v>0</v>
      </c>
      <c r="E14" s="13" t="e">
        <f t="shared" ref="E14:E20" si="5">D14/$D$21</f>
        <v>#DIV/0!</v>
      </c>
      <c r="F14" s="12"/>
      <c r="G14" s="36">
        <f t="shared" si="3"/>
        <v>0</v>
      </c>
      <c r="H14" s="49" t="e">
        <f t="shared" ref="H14:H20" si="6">G14/$G$21</f>
        <v>#DIV/0!</v>
      </c>
    </row>
    <row r="15" spans="1:8" x14ac:dyDescent="0.25">
      <c r="A15" s="27" t="s">
        <v>54</v>
      </c>
      <c r="B15">
        <f>SUMIFS(Tabla_Registro_de_movimientos_app.accdb[Importe_Costo],Tabla_Registro_de_movimientos_app.accdb[Sucursal],Produccion!$B$5,Tabla_Registro_de_movimientos_app.accdb[Detalle de movimiento],Produccion!A15,Tabla_Registro_de_movimientos_app.accdb[Fecha],"&gt;"&amp;Produccion!$B$4,Tabla_Registro_de_movimientos_app.accdb[Fecha],"&lt;="&amp;Produccion!$C$4)</f>
        <v>0</v>
      </c>
      <c r="C15" s="48" t="e">
        <f t="shared" si="4"/>
        <v>#DIV/0!</v>
      </c>
      <c r="D15">
        <f>SUMIFS(Tabla_Registro_de_movimientos_app.accdb[Importe_Costo],Tabla_Registro_de_movimientos_app.accdb[Sucursal],Produccion!$D$5,Tabla_Registro_de_movimientos_app.accdb[Detalle de movimiento],Produccion!C15,Tabla_Registro_de_movimientos_app.accdb[Fecha],"&gt;"&amp;Produccion!$B$4,Tabla_Registro_de_movimientos_app.accdb[Fecha],"&lt;="&amp;Produccion!$C$4)</f>
        <v>0</v>
      </c>
      <c r="E15" s="13" t="e">
        <f t="shared" si="5"/>
        <v>#DIV/0!</v>
      </c>
      <c r="F15" s="12"/>
      <c r="G15" s="36">
        <f t="shared" si="3"/>
        <v>0</v>
      </c>
      <c r="H15" s="49" t="e">
        <f t="shared" si="6"/>
        <v>#DIV/0!</v>
      </c>
    </row>
    <row r="16" spans="1:8" x14ac:dyDescent="0.25">
      <c r="A16" s="19" t="s">
        <v>29</v>
      </c>
      <c r="B16">
        <f>SUMIFS(Tabla_Registro_de_movimientos_app.accdb[Importe_Costo],Tabla_Registro_de_movimientos_app.accdb[Sucursal],Produccion!$B$5,Tabla_Registro_de_movimientos_app.accdb[Detalle de movimiento],Produccion!A16,Tabla_Registro_de_movimientos_app.accdb[Fecha],"&gt;"&amp;Produccion!$B$4,Tabla_Registro_de_movimientos_app.accdb[Fecha],"&lt;="&amp;Produccion!$C$4)</f>
        <v>0</v>
      </c>
      <c r="C16" s="48" t="e">
        <f t="shared" si="4"/>
        <v>#DIV/0!</v>
      </c>
      <c r="D16">
        <f>SUMIFS(Tabla_Registro_de_movimientos_app.accdb[Importe_Costo],Tabla_Registro_de_movimientos_app.accdb[Sucursal],Produccion!$D$5,Tabla_Registro_de_movimientos_app.accdb[Detalle de movimiento],Produccion!C16,Tabla_Registro_de_movimientos_app.accdb[Fecha],"&gt;"&amp;Produccion!$B$4,Tabla_Registro_de_movimientos_app.accdb[Fecha],"&lt;="&amp;Produccion!$C$4)</f>
        <v>0</v>
      </c>
      <c r="E16" s="13" t="e">
        <f t="shared" si="5"/>
        <v>#DIV/0!</v>
      </c>
      <c r="F16" s="12"/>
      <c r="G16" s="36">
        <f t="shared" si="3"/>
        <v>0</v>
      </c>
      <c r="H16" s="49" t="e">
        <f t="shared" si="6"/>
        <v>#DIV/0!</v>
      </c>
    </row>
    <row r="17" spans="1:8" x14ac:dyDescent="0.25">
      <c r="A17" s="19" t="s">
        <v>55</v>
      </c>
      <c r="B17">
        <f>SUMIFS(Tabla_Registro_de_movimientos_app.accdb[Importe_Costo],Tabla_Registro_de_movimientos_app.accdb[Sucursal],Produccion!$B$5,Tabla_Registro_de_movimientos_app.accdb[Detalle de movimiento],Produccion!A17,Tabla_Registro_de_movimientos_app.accdb[Fecha],"&gt;"&amp;Produccion!$B$4,Tabla_Registro_de_movimientos_app.accdb[Fecha],"&lt;="&amp;Produccion!$C$4)</f>
        <v>0</v>
      </c>
      <c r="C17" s="48" t="e">
        <f t="shared" si="4"/>
        <v>#DIV/0!</v>
      </c>
      <c r="D17">
        <f>SUMIFS(Tabla_Registro_de_movimientos_app.accdb[Importe_Costo],Tabla_Registro_de_movimientos_app.accdb[Sucursal],Produccion!$D$5,Tabla_Registro_de_movimientos_app.accdb[Detalle de movimiento],Produccion!C17,Tabla_Registro_de_movimientos_app.accdb[Fecha],"&gt;"&amp;Produccion!$B$4,Tabla_Registro_de_movimientos_app.accdb[Fecha],"&lt;="&amp;Produccion!$C$4)</f>
        <v>0</v>
      </c>
      <c r="E17" s="13" t="e">
        <f t="shared" si="5"/>
        <v>#DIV/0!</v>
      </c>
      <c r="F17" s="12"/>
      <c r="G17" s="36">
        <f t="shared" si="3"/>
        <v>0</v>
      </c>
      <c r="H17" s="49" t="e">
        <f t="shared" si="6"/>
        <v>#DIV/0!</v>
      </c>
    </row>
    <row r="18" spans="1:8" x14ac:dyDescent="0.25">
      <c r="A18" s="19" t="s">
        <v>56</v>
      </c>
      <c r="B18">
        <f>SUMIFS(Tabla_Registro_de_movimientos_app.accdb[Importe_Costo],Tabla_Registro_de_movimientos_app.accdb[Sucursal],Produccion!$B$5,Tabla_Registro_de_movimientos_app.accdb[Detalle de movimiento],Produccion!A18,Tabla_Registro_de_movimientos_app.accdb[Fecha],"&gt;"&amp;Produccion!$B$4,Tabla_Registro_de_movimientos_app.accdb[Fecha],"&lt;="&amp;Produccion!$C$4)</f>
        <v>0</v>
      </c>
      <c r="C18" s="48" t="e">
        <f t="shared" si="4"/>
        <v>#DIV/0!</v>
      </c>
      <c r="D18">
        <f>SUMIFS(Tabla_Registro_de_movimientos_app.accdb[Importe_Costo],Tabla_Registro_de_movimientos_app.accdb[Sucursal],Produccion!$D$5,Tabla_Registro_de_movimientos_app.accdb[Detalle de movimiento],Produccion!C18,Tabla_Registro_de_movimientos_app.accdb[Fecha],"&gt;"&amp;Produccion!$B$4,Tabla_Registro_de_movimientos_app.accdb[Fecha],"&lt;="&amp;Produccion!$C$4)</f>
        <v>0</v>
      </c>
      <c r="E18" s="13" t="e">
        <f t="shared" si="5"/>
        <v>#DIV/0!</v>
      </c>
      <c r="F18" s="12"/>
      <c r="G18" s="36">
        <f t="shared" si="3"/>
        <v>0</v>
      </c>
      <c r="H18" s="49" t="e">
        <f t="shared" si="6"/>
        <v>#DIV/0!</v>
      </c>
    </row>
    <row r="19" spans="1:8" x14ac:dyDescent="0.25">
      <c r="A19" s="27" t="s">
        <v>25</v>
      </c>
      <c r="B19">
        <f>SUMIFS(Tabla_Registro_de_movimientos_app.accdb[Importe_Inventario_F],Tabla_Registro_de_movimientos_app.accdb[Sucursal],Produccion!$B$5,Tabla_Registro_de_movimientos_app.accdb[Detalle de movimiento],Produccion!A19,Tabla_Registro_de_movimientos_app.accdb[Fecha],"&gt;"&amp;Produccion!$B$4,Tabla_Registro_de_movimientos_app.accdb[Fecha],"&lt;="&amp;Produccion!$C$4)</f>
        <v>0</v>
      </c>
      <c r="C19" s="48" t="e">
        <f t="shared" si="4"/>
        <v>#DIV/0!</v>
      </c>
      <c r="D19">
        <f>SUMIFS(Tabla_Registro_de_movimientos_app.accdb[Importe_Inventario_F],Tabla_Registro_de_movimientos_app.accdb[Sucursal],Produccion!$D$5,Tabla_Registro_de_movimientos_app.accdb[Detalle de movimiento],Produccion!C19,Tabla_Registro_de_movimientos_app.accdb[Fecha],"&gt;"&amp;Produccion!$B$4,Tabla_Registro_de_movimientos_app.accdb[Fecha],"&lt;="&amp;Produccion!$C$4)</f>
        <v>0</v>
      </c>
      <c r="E19" s="13" t="e">
        <f t="shared" si="5"/>
        <v>#DIV/0!</v>
      </c>
      <c r="F19" s="12"/>
      <c r="G19" s="36">
        <f t="shared" si="3"/>
        <v>0</v>
      </c>
      <c r="H19" s="49" t="e">
        <f t="shared" si="6"/>
        <v>#DIV/0!</v>
      </c>
    </row>
    <row r="20" spans="1:8" x14ac:dyDescent="0.25">
      <c r="A20" s="27" t="s">
        <v>57</v>
      </c>
      <c r="B20">
        <f>SUMIFS(Tabla_Registro_de_movimientos_app.accdb[Importe_Costo],Tabla_Registro_de_movimientos_app.accdb[Sucursal],Produccion!$B$5,Tabla_Registro_de_movimientos_app.accdb[Detalle de movimiento],Produccion!A20,Tabla_Registro_de_movimientos_app.accdb[Fecha],"&gt;"&amp;Produccion!$B$4,Tabla_Registro_de_movimientos_app.accdb[Fecha],"&lt;="&amp;Produccion!$C$4)</f>
        <v>0</v>
      </c>
      <c r="C20" s="48" t="e">
        <f t="shared" si="4"/>
        <v>#DIV/0!</v>
      </c>
      <c r="D20">
        <f>SUMIFS(Tabla_Registro_de_movimientos_app.accdb[Importe_Costo],Tabla_Registro_de_movimientos_app.accdb[Sucursal],Produccion!$D$5,Tabla_Registro_de_movimientos_app.accdb[Detalle de movimiento],Produccion!C20,Tabla_Registro_de_movimientos_app.accdb[Fecha],"&gt;"&amp;Produccion!$B$4,Tabla_Registro_de_movimientos_app.accdb[Fecha],"&lt;="&amp;Produccion!$C$4)</f>
        <v>0</v>
      </c>
      <c r="E20" s="13" t="e">
        <f t="shared" si="5"/>
        <v>#DIV/0!</v>
      </c>
      <c r="F20" s="12"/>
      <c r="G20" s="36">
        <f t="shared" si="3"/>
        <v>0</v>
      </c>
      <c r="H20" s="49" t="e">
        <f t="shared" si="6"/>
        <v>#DIV/0!</v>
      </c>
    </row>
    <row r="21" spans="1:8" x14ac:dyDescent="0.25">
      <c r="A21" s="28" t="s">
        <v>58</v>
      </c>
      <c r="B21" s="23">
        <f>SUM(B13:B20)</f>
        <v>0</v>
      </c>
      <c r="C21" s="24" t="e">
        <f>B21/$B$10</f>
        <v>#DIV/0!</v>
      </c>
      <c r="D21" s="23">
        <f>SUM(D13:D20)</f>
        <v>0</v>
      </c>
      <c r="E21" s="24" t="e">
        <f>D21/$D$10</f>
        <v>#DIV/0!</v>
      </c>
      <c r="F21" s="12"/>
      <c r="G21" s="38">
        <f>SUM(G13:G20)</f>
        <v>0</v>
      </c>
      <c r="H21" s="39" t="e">
        <f>G21/G10</f>
        <v>#DIV/0!</v>
      </c>
    </row>
    <row r="22" spans="1:8" x14ac:dyDescent="0.25">
      <c r="A22" s="11"/>
      <c r="B22" s="12"/>
      <c r="C22" s="13"/>
      <c r="D22" s="12"/>
      <c r="E22" s="13"/>
      <c r="F22" s="12"/>
      <c r="G22" s="12"/>
      <c r="H22" s="40"/>
    </row>
    <row r="23" spans="1:8" x14ac:dyDescent="0.25">
      <c r="A23" s="28" t="s">
        <v>59</v>
      </c>
      <c r="B23" s="23">
        <f>B10-B21</f>
        <v>0</v>
      </c>
      <c r="C23" s="24" t="e">
        <f>B23/B10</f>
        <v>#DIV/0!</v>
      </c>
      <c r="D23" s="23">
        <f>D10-D21</f>
        <v>0</v>
      </c>
      <c r="E23" s="24" t="e">
        <f>D23/D10</f>
        <v>#DIV/0!</v>
      </c>
      <c r="F23" s="12"/>
      <c r="G23" s="38">
        <f>G10-G21</f>
        <v>0</v>
      </c>
      <c r="H23" s="39" t="e">
        <f>G23/G10</f>
        <v>#DIV/0!</v>
      </c>
    </row>
    <row r="24" spans="1:8" x14ac:dyDescent="0.25">
      <c r="A24" s="11"/>
      <c r="B24" s="12"/>
      <c r="C24" s="13"/>
      <c r="D24" s="12"/>
      <c r="E24" s="13"/>
      <c r="F24" s="12"/>
      <c r="G24" s="12"/>
      <c r="H24" s="40"/>
    </row>
    <row r="25" spans="1:8" x14ac:dyDescent="0.25">
      <c r="A25" s="11" t="s">
        <v>39</v>
      </c>
      <c r="B25" s="12"/>
      <c r="C25" s="13"/>
      <c r="D25" s="12"/>
      <c r="E25" s="13"/>
      <c r="F25" s="12"/>
      <c r="G25" s="12"/>
      <c r="H25" s="40"/>
    </row>
    <row r="26" spans="1:8" x14ac:dyDescent="0.25">
      <c r="A26" s="27" t="s">
        <v>30</v>
      </c>
      <c r="B26" s="115">
        <f>SUMIFS(Tabla_Registro_de_movimientos_app.accdb[Importe_Gasto],Tabla_Registro_de_movimientos_app.accdb[Sucursal],Produccion!$B$5,Tabla_Registro_de_movimientos_app.accdb[Detalle de movimiento],Produccion!A26,Tabla_Registro_de_movimientos_app.accdb[Fecha],"&gt;"&amp;Produccion!$B$4,Tabla_Registro_de_movimientos_app.accdb[Fecha],"&lt;="&amp;Produccion!$C$4)</f>
        <v>0</v>
      </c>
      <c r="C26" s="21" t="e">
        <f>B26/$B$41</f>
        <v>#DIV/0!</v>
      </c>
      <c r="D26">
        <f>SUMIFS(Tabla_Registro_de_movimientos_app.accdb[Importe_Gasto],Tabla_Registro_de_movimientos_app.accdb[Sucursal],Produccion!$D$5,Tabla_Registro_de_movimientos_app.accdb[Detalle de movimiento],Produccion!A26,Tabla_Registro_de_movimientos_app.accdb[Fecha],"&gt;"&amp;Produccion!$B$4,Tabla_Registro_de_movimientos_app.accdb[Fecha],"&lt;="&amp;Produccion!$C$4)</f>
        <v>0</v>
      </c>
      <c r="E26" s="21" t="e">
        <f>D26/$D$41</f>
        <v>#DIV/0!</v>
      </c>
      <c r="F26" s="12"/>
      <c r="G26" s="36">
        <f t="shared" ref="G26:G40" si="7">B26+D26</f>
        <v>0</v>
      </c>
      <c r="H26" s="41" t="e">
        <f>G26/$G$41</f>
        <v>#DIV/0!</v>
      </c>
    </row>
    <row r="27" spans="1:8" x14ac:dyDescent="0.25">
      <c r="A27" s="27" t="s">
        <v>26</v>
      </c>
      <c r="B27" s="115">
        <f>SUMIFS(Tabla_Registro_de_movimientos_app.accdb[Importe_Gasto],Tabla_Registro_de_movimientos_app.accdb[Sucursal],Produccion!$B$5,Tabla_Registro_de_movimientos_app.accdb[Detalle de movimiento],Produccion!A27,Tabla_Registro_de_movimientos_app.accdb[Fecha],"&gt;"&amp;Produccion!$B$4,Tabla_Registro_de_movimientos_app.accdb[Fecha],"&lt;="&amp;Produccion!$C$4)</f>
        <v>0</v>
      </c>
      <c r="C27" s="21" t="e">
        <f t="shared" ref="C27:C40" si="8">B27/$B$41</f>
        <v>#DIV/0!</v>
      </c>
      <c r="D27">
        <f>SUMIFS(Tabla_Registro_de_movimientos_app.accdb[Importe_Gasto],Tabla_Registro_de_movimientos_app.accdb[Sucursal],Produccion!$D$5,Tabla_Registro_de_movimientos_app.accdb[Detalle de movimiento],Produccion!A27,Tabla_Registro_de_movimientos_app.accdb[Fecha],"&gt;"&amp;Produccion!$B$4,Tabla_Registro_de_movimientos_app.accdb[Fecha],"&lt;="&amp;Produccion!$C$4)</f>
        <v>0</v>
      </c>
      <c r="E27" s="21" t="e">
        <f t="shared" ref="E27:E40" si="9">D27/$D$41</f>
        <v>#DIV/0!</v>
      </c>
      <c r="F27" s="12"/>
      <c r="G27" s="36">
        <f t="shared" si="7"/>
        <v>0</v>
      </c>
      <c r="H27" s="41" t="e">
        <f t="shared" ref="H27:H40" si="10">G27/$G$41</f>
        <v>#DIV/0!</v>
      </c>
    </row>
    <row r="28" spans="1:8" x14ac:dyDescent="0.25">
      <c r="A28" s="27" t="s">
        <v>41</v>
      </c>
      <c r="B28" s="115">
        <f>SUMIFS(Tabla_Registro_de_movimientos_app.accdb[Importe_Gasto],Tabla_Registro_de_movimientos_app.accdb[Sucursal],Produccion!$B$5,Tabla_Registro_de_movimientos_app.accdb[Detalle de movimiento],Produccion!A28,Tabla_Registro_de_movimientos_app.accdb[Fecha],"&gt;"&amp;Produccion!$B$4,Tabla_Registro_de_movimientos_app.accdb[Fecha],"&lt;="&amp;Produccion!$C$4)</f>
        <v>0</v>
      </c>
      <c r="C28" s="21" t="e">
        <f t="shared" si="8"/>
        <v>#DIV/0!</v>
      </c>
      <c r="D28">
        <f>SUMIFS(Tabla_Registro_de_movimientos_app.accdb[Importe_Gasto],Tabla_Registro_de_movimientos_app.accdb[Sucursal],Produccion!$D$5,Tabla_Registro_de_movimientos_app.accdb[Detalle de movimiento],Produccion!A28,Tabla_Registro_de_movimientos_app.accdb[Fecha],"&gt;"&amp;Produccion!$B$4,Tabla_Registro_de_movimientos_app.accdb[Fecha],"&lt;="&amp;Produccion!$C$4)</f>
        <v>0</v>
      </c>
      <c r="E28" s="21" t="e">
        <f t="shared" si="9"/>
        <v>#DIV/0!</v>
      </c>
      <c r="F28" s="12"/>
      <c r="G28" s="36">
        <f t="shared" si="7"/>
        <v>0</v>
      </c>
      <c r="H28" s="41" t="e">
        <f t="shared" si="10"/>
        <v>#DIV/0!</v>
      </c>
    </row>
    <row r="29" spans="1:8" x14ac:dyDescent="0.25">
      <c r="A29" s="27" t="s">
        <v>42</v>
      </c>
      <c r="B29" s="115">
        <f>SUMIFS(Tabla_Registro_de_movimientos_app.accdb[Importe_Gasto],Tabla_Registro_de_movimientos_app.accdb[Sucursal],Produccion!$B$5,Tabla_Registro_de_movimientos_app.accdb[Detalle de movimiento],Produccion!A29,Tabla_Registro_de_movimientos_app.accdb[Fecha],"&gt;"&amp;Produccion!$B$4,Tabla_Registro_de_movimientos_app.accdb[Fecha],"&lt;="&amp;Produccion!$C$4)</f>
        <v>0</v>
      </c>
      <c r="C29" s="21" t="e">
        <f t="shared" si="8"/>
        <v>#DIV/0!</v>
      </c>
      <c r="D29">
        <f>SUMIFS(Tabla_Registro_de_movimientos_app.accdb[Importe_Gasto],Tabla_Registro_de_movimientos_app.accdb[Sucursal],Produccion!$D$5,Tabla_Registro_de_movimientos_app.accdb[Detalle de movimiento],Produccion!A29,Tabla_Registro_de_movimientos_app.accdb[Fecha],"&gt;"&amp;Produccion!$B$4,Tabla_Registro_de_movimientos_app.accdb[Fecha],"&lt;="&amp;Produccion!$C$4)</f>
        <v>0</v>
      </c>
      <c r="E29" s="21" t="e">
        <f t="shared" si="9"/>
        <v>#DIV/0!</v>
      </c>
      <c r="F29" s="12"/>
      <c r="G29" s="36">
        <f t="shared" si="7"/>
        <v>0</v>
      </c>
      <c r="H29" s="41" t="e">
        <f t="shared" si="10"/>
        <v>#DIV/0!</v>
      </c>
    </row>
    <row r="30" spans="1:8" x14ac:dyDescent="0.25">
      <c r="A30" s="27" t="s">
        <v>28</v>
      </c>
      <c r="B30" s="115">
        <f>SUMIFS(Tabla_Registro_de_movimientos_app.accdb[Importe_Gasto],Tabla_Registro_de_movimientos_app.accdb[Sucursal],Produccion!$B$5,Tabla_Registro_de_movimientos_app.accdb[Detalle de movimiento],Produccion!A30,Tabla_Registro_de_movimientos_app.accdb[Fecha],"&gt;"&amp;Produccion!$B$4,Tabla_Registro_de_movimientos_app.accdb[Fecha],"&lt;="&amp;Produccion!$C$4)</f>
        <v>0</v>
      </c>
      <c r="C30" s="21" t="e">
        <f t="shared" si="8"/>
        <v>#DIV/0!</v>
      </c>
      <c r="D30">
        <f>SUMIFS(Tabla_Registro_de_movimientos_app.accdb[Importe_Gasto],Tabla_Registro_de_movimientos_app.accdb[Sucursal],Produccion!$D$5,Tabla_Registro_de_movimientos_app.accdb[Detalle de movimiento],Produccion!A30,Tabla_Registro_de_movimientos_app.accdb[Fecha],"&gt;"&amp;Produccion!$B$4,Tabla_Registro_de_movimientos_app.accdb[Fecha],"&lt;="&amp;Produccion!$C$4)</f>
        <v>0</v>
      </c>
      <c r="E30" s="21" t="e">
        <f t="shared" si="9"/>
        <v>#DIV/0!</v>
      </c>
      <c r="F30" s="12"/>
      <c r="G30" s="36">
        <f t="shared" si="7"/>
        <v>0</v>
      </c>
      <c r="H30" s="41" t="e">
        <f t="shared" si="10"/>
        <v>#DIV/0!</v>
      </c>
    </row>
    <row r="31" spans="1:8" x14ac:dyDescent="0.25">
      <c r="A31" s="27" t="s">
        <v>12</v>
      </c>
      <c r="B31" s="115">
        <f>SUMIFS(Tabla_Registro_de_movimientos_app.accdb[Importe_Gasto],Tabla_Registro_de_movimientos_app.accdb[Sucursal],Produccion!$B$5,Tabla_Registro_de_movimientos_app.accdb[Detalle de movimiento],Produccion!A31,Tabla_Registro_de_movimientos_app.accdb[Fecha],"&gt;"&amp;Produccion!$B$4,Tabla_Registro_de_movimientos_app.accdb[Fecha],"&lt;="&amp;Produccion!$C$4)</f>
        <v>0</v>
      </c>
      <c r="C31" s="21" t="e">
        <f t="shared" si="8"/>
        <v>#DIV/0!</v>
      </c>
      <c r="D31">
        <f>SUMIFS(Tabla_Registro_de_movimientos_app.accdb[Importe_Gasto],Tabla_Registro_de_movimientos_app.accdb[Sucursal],Produccion!$D$5,Tabla_Registro_de_movimientos_app.accdb[Detalle de movimiento],Produccion!A31,Tabla_Registro_de_movimientos_app.accdb[Fecha],"&gt;"&amp;Produccion!$B$4,Tabla_Registro_de_movimientos_app.accdb[Fecha],"&lt;="&amp;Produccion!$C$4)</f>
        <v>0</v>
      </c>
      <c r="E31" s="21" t="e">
        <f t="shared" si="9"/>
        <v>#DIV/0!</v>
      </c>
      <c r="F31" s="12"/>
      <c r="G31" s="36">
        <f t="shared" si="7"/>
        <v>0</v>
      </c>
      <c r="H31" s="41" t="e">
        <f t="shared" si="10"/>
        <v>#DIV/0!</v>
      </c>
    </row>
    <row r="32" spans="1:8" x14ac:dyDescent="0.25">
      <c r="A32" s="27" t="s">
        <v>52</v>
      </c>
      <c r="B32" s="115">
        <f>SUMIFS(Tabla_Registro_de_movimientos_app.accdb[Importe_Gasto],Tabla_Registro_de_movimientos_app.accdb[Sucursal],Produccion!$B$5,Tabla_Registro_de_movimientos_app.accdb[Detalle de movimiento],Produccion!A32,Tabla_Registro_de_movimientos_app.accdb[Fecha],"&gt;"&amp;Produccion!$B$4,Tabla_Registro_de_movimientos_app.accdb[Fecha],"&lt;="&amp;Produccion!$C$4)</f>
        <v>0</v>
      </c>
      <c r="C32" s="21" t="e">
        <f t="shared" si="8"/>
        <v>#DIV/0!</v>
      </c>
      <c r="D32">
        <f>SUMIFS(Tabla_Registro_de_movimientos_app.accdb[Importe_Gasto],Tabla_Registro_de_movimientos_app.accdb[Sucursal],Produccion!$D$5,Tabla_Registro_de_movimientos_app.accdb[Detalle de movimiento],Produccion!A32,Tabla_Registro_de_movimientos_app.accdb[Fecha],"&gt;"&amp;Produccion!$B$4,Tabla_Registro_de_movimientos_app.accdb[Fecha],"&lt;="&amp;Produccion!$C$4)</f>
        <v>0</v>
      </c>
      <c r="E32" s="21" t="e">
        <f t="shared" si="9"/>
        <v>#DIV/0!</v>
      </c>
      <c r="F32" s="12"/>
      <c r="G32" s="36">
        <f t="shared" si="7"/>
        <v>0</v>
      </c>
      <c r="H32" s="41" t="e">
        <f t="shared" si="10"/>
        <v>#DIV/0!</v>
      </c>
    </row>
    <row r="33" spans="1:8" x14ac:dyDescent="0.25">
      <c r="A33" s="27" t="s">
        <v>43</v>
      </c>
      <c r="B33" s="115">
        <f>SUMIFS(Tabla_Registro_de_movimientos_app.accdb[Importe_Gasto],Tabla_Registro_de_movimientos_app.accdb[Sucursal],Produccion!$B$5,Tabla_Registro_de_movimientos_app.accdb[Detalle de movimiento],Produccion!A33,Tabla_Registro_de_movimientos_app.accdb[Fecha],"&gt;"&amp;Produccion!$B$4,Tabla_Registro_de_movimientos_app.accdb[Fecha],"&lt;="&amp;Produccion!$C$4)</f>
        <v>0</v>
      </c>
      <c r="C33" s="21" t="e">
        <f t="shared" si="8"/>
        <v>#DIV/0!</v>
      </c>
      <c r="D33">
        <f>SUMIFS(Tabla_Registro_de_movimientos_app.accdb[Importe_Gasto],Tabla_Registro_de_movimientos_app.accdb[Sucursal],Produccion!$D$5,Tabla_Registro_de_movimientos_app.accdb[Detalle de movimiento],Produccion!A33,Tabla_Registro_de_movimientos_app.accdb[Fecha],"&gt;"&amp;Produccion!$B$4,Tabla_Registro_de_movimientos_app.accdb[Fecha],"&lt;="&amp;Produccion!$C$4)</f>
        <v>0</v>
      </c>
      <c r="E33" s="21" t="e">
        <f t="shared" si="9"/>
        <v>#DIV/0!</v>
      </c>
      <c r="F33" s="12"/>
      <c r="G33" s="36">
        <f t="shared" si="7"/>
        <v>0</v>
      </c>
      <c r="H33" s="41" t="e">
        <f t="shared" si="10"/>
        <v>#DIV/0!</v>
      </c>
    </row>
    <row r="34" spans="1:8" x14ac:dyDescent="0.25">
      <c r="A34" s="27" t="s">
        <v>44</v>
      </c>
      <c r="B34" s="115">
        <f>SUMIFS(Tabla_Registro_de_movimientos_app.accdb[Importe_Gasto],Tabla_Registro_de_movimientos_app.accdb[Sucursal],Produccion!$B$5,Tabla_Registro_de_movimientos_app.accdb[Detalle de movimiento],Produccion!A34,Tabla_Registro_de_movimientos_app.accdb[Fecha],"&gt;"&amp;Produccion!$B$4,Tabla_Registro_de_movimientos_app.accdb[Fecha],"&lt;="&amp;Produccion!$C$4)</f>
        <v>0</v>
      </c>
      <c r="C34" s="21" t="e">
        <f t="shared" si="8"/>
        <v>#DIV/0!</v>
      </c>
      <c r="D34">
        <f>SUMIFS(Tabla_Registro_de_movimientos_app.accdb[Importe_Gasto],Tabla_Registro_de_movimientos_app.accdb[Sucursal],Produccion!$D$5,Tabla_Registro_de_movimientos_app.accdb[Detalle de movimiento],Produccion!A34,Tabla_Registro_de_movimientos_app.accdb[Fecha],"&gt;"&amp;Produccion!$B$4,Tabla_Registro_de_movimientos_app.accdb[Fecha],"&lt;="&amp;Produccion!$C$4)</f>
        <v>0</v>
      </c>
      <c r="E34" s="21" t="e">
        <f t="shared" si="9"/>
        <v>#DIV/0!</v>
      </c>
      <c r="F34" s="12"/>
      <c r="G34" s="36">
        <f t="shared" si="7"/>
        <v>0</v>
      </c>
      <c r="H34" s="41" t="e">
        <f t="shared" si="10"/>
        <v>#DIV/0!</v>
      </c>
    </row>
    <row r="35" spans="1:8" x14ac:dyDescent="0.25">
      <c r="A35" s="27" t="s">
        <v>45</v>
      </c>
      <c r="B35" s="115">
        <f>SUMIFS(Tabla_Registro_de_movimientos_app.accdb[Importe_Gasto],Tabla_Registro_de_movimientos_app.accdb[Sucursal],Produccion!$B$5,Tabla_Registro_de_movimientos_app.accdb[Detalle de movimiento],Produccion!A35,Tabla_Registro_de_movimientos_app.accdb[Fecha],"&gt;"&amp;Produccion!$B$4,Tabla_Registro_de_movimientos_app.accdb[Fecha],"&lt;="&amp;Produccion!$C$4)</f>
        <v>0</v>
      </c>
      <c r="C35" s="21" t="e">
        <f t="shared" si="8"/>
        <v>#DIV/0!</v>
      </c>
      <c r="D35">
        <f>SUMIFS(Tabla_Registro_de_movimientos_app.accdb[Importe_Gasto],Tabla_Registro_de_movimientos_app.accdb[Sucursal],Produccion!$D$5,Tabla_Registro_de_movimientos_app.accdb[Detalle de movimiento],Produccion!A35,Tabla_Registro_de_movimientos_app.accdb[Fecha],"&gt;"&amp;Produccion!$B$4,Tabla_Registro_de_movimientos_app.accdb[Fecha],"&lt;="&amp;Produccion!$C$4)</f>
        <v>0</v>
      </c>
      <c r="E35" s="21" t="e">
        <f t="shared" si="9"/>
        <v>#DIV/0!</v>
      </c>
      <c r="F35" s="12"/>
      <c r="G35" s="36">
        <f t="shared" si="7"/>
        <v>0</v>
      </c>
      <c r="H35" s="41" t="e">
        <f t="shared" si="10"/>
        <v>#DIV/0!</v>
      </c>
    </row>
    <row r="36" spans="1:8" x14ac:dyDescent="0.25">
      <c r="A36" s="27" t="s">
        <v>46</v>
      </c>
      <c r="B36" s="115">
        <f>SUMIFS(Tabla_Registro_de_movimientos_app.accdb[Importe_Gasto],Tabla_Registro_de_movimientos_app.accdb[Sucursal],Produccion!$B$5,Tabla_Registro_de_movimientos_app.accdb[Detalle de movimiento],Produccion!A36,Tabla_Registro_de_movimientos_app.accdb[Fecha],"&gt;"&amp;Produccion!$B$4,Tabla_Registro_de_movimientos_app.accdb[Fecha],"&lt;="&amp;Produccion!$C$4)</f>
        <v>0</v>
      </c>
      <c r="C36" s="21" t="e">
        <f t="shared" si="8"/>
        <v>#DIV/0!</v>
      </c>
      <c r="D36">
        <f>SUMIFS(Tabla_Registro_de_movimientos_app.accdb[Importe_Gasto],Tabla_Registro_de_movimientos_app.accdb[Sucursal],Produccion!$D$5,Tabla_Registro_de_movimientos_app.accdb[Detalle de movimiento],Produccion!A36,Tabla_Registro_de_movimientos_app.accdb[Fecha],"&gt;"&amp;Produccion!$B$4,Tabla_Registro_de_movimientos_app.accdb[Fecha],"&lt;="&amp;Produccion!$C$4)</f>
        <v>0</v>
      </c>
      <c r="E36" s="21" t="e">
        <f t="shared" si="9"/>
        <v>#DIV/0!</v>
      </c>
      <c r="F36" s="12"/>
      <c r="G36" s="36">
        <f t="shared" si="7"/>
        <v>0</v>
      </c>
      <c r="H36" s="41" t="e">
        <f t="shared" si="10"/>
        <v>#DIV/0!</v>
      </c>
    </row>
    <row r="37" spans="1:8" x14ac:dyDescent="0.25">
      <c r="A37" s="27" t="s">
        <v>47</v>
      </c>
      <c r="B37" s="115">
        <f>SUMIFS(Tabla_Registro_de_movimientos_app.accdb[Importe_Gasto],Tabla_Registro_de_movimientos_app.accdb[Sucursal],Produccion!$B$5,Tabla_Registro_de_movimientos_app.accdb[Detalle de movimiento],Produccion!A37,Tabla_Registro_de_movimientos_app.accdb[Fecha],"&gt;"&amp;Produccion!$B$4,Tabla_Registro_de_movimientos_app.accdb[Fecha],"&lt;="&amp;Produccion!$C$4)</f>
        <v>0</v>
      </c>
      <c r="C37" s="21" t="e">
        <f t="shared" si="8"/>
        <v>#DIV/0!</v>
      </c>
      <c r="D37">
        <f>SUMIFS(Tabla_Registro_de_movimientos_app.accdb[Importe_Gasto],Tabla_Registro_de_movimientos_app.accdb[Sucursal],Produccion!$D$5,Tabla_Registro_de_movimientos_app.accdb[Detalle de movimiento],Produccion!A37,Tabla_Registro_de_movimientos_app.accdb[Fecha],"&gt;"&amp;Produccion!$B$4,Tabla_Registro_de_movimientos_app.accdb[Fecha],"&lt;="&amp;Produccion!$C$4)</f>
        <v>0</v>
      </c>
      <c r="E37" s="21" t="e">
        <f t="shared" si="9"/>
        <v>#DIV/0!</v>
      </c>
      <c r="F37" s="12"/>
      <c r="G37" s="36">
        <f t="shared" si="7"/>
        <v>0</v>
      </c>
      <c r="H37" s="41" t="e">
        <f t="shared" si="10"/>
        <v>#DIV/0!</v>
      </c>
    </row>
    <row r="38" spans="1:8" x14ac:dyDescent="0.25">
      <c r="A38" s="27" t="s">
        <v>48</v>
      </c>
      <c r="B38" s="115">
        <f>SUMIFS(Tabla_Registro_de_movimientos_app.accdb[Importe_Gasto],Tabla_Registro_de_movimientos_app.accdb[Sucursal],Produccion!$B$5,Tabla_Registro_de_movimientos_app.accdb[Detalle de movimiento],Produccion!A38,Tabla_Registro_de_movimientos_app.accdb[Fecha],"&gt;"&amp;Produccion!$B$4,Tabla_Registro_de_movimientos_app.accdb[Fecha],"&lt;="&amp;Produccion!$C$4)</f>
        <v>0</v>
      </c>
      <c r="C38" s="21" t="e">
        <f t="shared" si="8"/>
        <v>#DIV/0!</v>
      </c>
      <c r="D38">
        <f>SUMIFS(Tabla_Registro_de_movimientos_app.accdb[Importe_Gasto],Tabla_Registro_de_movimientos_app.accdb[Sucursal],Produccion!$D$5,Tabla_Registro_de_movimientos_app.accdb[Detalle de movimiento],Produccion!A38,Tabla_Registro_de_movimientos_app.accdb[Fecha],"&gt;"&amp;Produccion!$B$4,Tabla_Registro_de_movimientos_app.accdb[Fecha],"&lt;="&amp;Produccion!$C$4)</f>
        <v>0</v>
      </c>
      <c r="E38" s="21" t="e">
        <f t="shared" si="9"/>
        <v>#DIV/0!</v>
      </c>
      <c r="F38" s="12"/>
      <c r="G38" s="36">
        <f t="shared" si="7"/>
        <v>0</v>
      </c>
      <c r="H38" s="41" t="e">
        <f t="shared" si="10"/>
        <v>#DIV/0!</v>
      </c>
    </row>
    <row r="39" spans="1:8" x14ac:dyDescent="0.25">
      <c r="A39" s="27" t="s">
        <v>49</v>
      </c>
      <c r="B39" s="115">
        <f>SUMIFS(Tabla_Registro_de_movimientos_app.accdb[Importe_Gasto],Tabla_Registro_de_movimientos_app.accdb[Sucursal],Produccion!$B$5,Tabla_Registro_de_movimientos_app.accdb[Detalle de movimiento],Produccion!A39,Tabla_Registro_de_movimientos_app.accdb[Fecha],"&gt;"&amp;Produccion!$B$4,Tabla_Registro_de_movimientos_app.accdb[Fecha],"&lt;="&amp;Produccion!$C$4)</f>
        <v>0</v>
      </c>
      <c r="C39" s="21" t="e">
        <f t="shared" si="8"/>
        <v>#DIV/0!</v>
      </c>
      <c r="D39">
        <f>SUMIFS(Tabla_Registro_de_movimientos_app.accdb[Importe_Gasto],Tabla_Registro_de_movimientos_app.accdb[Sucursal],Produccion!$D$5,Tabla_Registro_de_movimientos_app.accdb[Detalle de movimiento],Produccion!A39,Tabla_Registro_de_movimientos_app.accdb[Fecha],"&gt;"&amp;Produccion!$B$4,Tabla_Registro_de_movimientos_app.accdb[Fecha],"&lt;="&amp;Produccion!$C$4)</f>
        <v>0</v>
      </c>
      <c r="E39" s="21" t="e">
        <f t="shared" si="9"/>
        <v>#DIV/0!</v>
      </c>
      <c r="F39" s="12"/>
      <c r="G39" s="36">
        <f t="shared" si="7"/>
        <v>0</v>
      </c>
      <c r="H39" s="41" t="e">
        <f t="shared" si="10"/>
        <v>#DIV/0!</v>
      </c>
    </row>
    <row r="40" spans="1:8" x14ac:dyDescent="0.25">
      <c r="A40" s="27" t="s">
        <v>50</v>
      </c>
      <c r="B40" s="115">
        <f>SUMIFS(Tabla_Registro_de_movimientos_app.accdb[Importe_Gasto],Tabla_Registro_de_movimientos_app.accdb[Sucursal],Produccion!$B$5,Tabla_Registro_de_movimientos_app.accdb[Detalle de movimiento],Produccion!A40,Tabla_Registro_de_movimientos_app.accdb[Fecha],"&gt;"&amp;Produccion!$B$4,Tabla_Registro_de_movimientos_app.accdb[Fecha],"&lt;="&amp;Produccion!$C$4)</f>
        <v>0</v>
      </c>
      <c r="C40" s="21" t="e">
        <f t="shared" si="8"/>
        <v>#DIV/0!</v>
      </c>
      <c r="D40">
        <f>SUMIFS(Tabla_Registro_de_movimientos_app.accdb[Importe_Gasto],Tabla_Registro_de_movimientos_app.accdb[Sucursal],Produccion!$D$5,Tabla_Registro_de_movimientos_app.accdb[Detalle de movimiento],Produccion!A40,Tabla_Registro_de_movimientos_app.accdb[Fecha],"&gt;"&amp;Produccion!$B$4,Tabla_Registro_de_movimientos_app.accdb[Fecha],"&lt;="&amp;Produccion!$C$4)</f>
        <v>0</v>
      </c>
      <c r="E40" s="21" t="e">
        <f t="shared" si="9"/>
        <v>#DIV/0!</v>
      </c>
      <c r="F40" s="12"/>
      <c r="G40" s="36">
        <f t="shared" si="7"/>
        <v>0</v>
      </c>
      <c r="H40" s="41" t="e">
        <f t="shared" si="10"/>
        <v>#DIV/0!</v>
      </c>
    </row>
    <row r="41" spans="1:8" x14ac:dyDescent="0.25">
      <c r="A41" s="28" t="s">
        <v>51</v>
      </c>
      <c r="B41" s="23">
        <f>SUM(B26:B40)</f>
        <v>0</v>
      </c>
      <c r="C41" s="24" t="e">
        <f>B41/B10</f>
        <v>#DIV/0!</v>
      </c>
      <c r="D41" s="23">
        <f>SUM(D26:D40)</f>
        <v>0</v>
      </c>
      <c r="E41" s="24" t="e">
        <f>D41/D10</f>
        <v>#DIV/0!</v>
      </c>
      <c r="F41" s="12"/>
      <c r="G41" s="38">
        <f>SUM(G26:G40)</f>
        <v>0</v>
      </c>
      <c r="H41" s="39" t="e">
        <f>G41/G10</f>
        <v>#DIV/0!</v>
      </c>
    </row>
    <row r="42" spans="1:8" x14ac:dyDescent="0.25">
      <c r="A42" s="27"/>
      <c r="B42" s="12"/>
      <c r="C42" s="13"/>
      <c r="D42" s="12"/>
      <c r="E42" s="13"/>
      <c r="F42" s="12"/>
      <c r="G42" s="12"/>
    </row>
    <row r="43" spans="1:8" x14ac:dyDescent="0.25">
      <c r="A43" s="11" t="s">
        <v>62</v>
      </c>
      <c r="B43" s="12"/>
      <c r="C43" s="13"/>
      <c r="D43" s="12"/>
      <c r="E43" s="13"/>
      <c r="F43" s="12"/>
      <c r="G43" s="12"/>
    </row>
    <row r="44" spans="1:8" x14ac:dyDescent="0.25">
      <c r="A44" s="27" t="s">
        <v>85</v>
      </c>
      <c r="B44" s="115">
        <f>SUMIFS(Tabla_Registro_de_movimientos_app.accdb[Importe_Gasto],Tabla_Registro_de_movimientos_app.accdb[Sucursal],Produccion!$B$5,Tabla_Registro_de_movimientos_app.accdb[Detalle de movimiento],Produccion!A44,Tabla_Registro_de_movimientos_app.accdb[Fecha],"&gt;"&amp;Produccion!$B$4,Tabla_Registro_de_movimientos_app.accdb[Fecha],"&lt;="&amp;Produccion!$C$4)</f>
        <v>0</v>
      </c>
      <c r="C44" s="21" t="e">
        <f>B44/$B$57</f>
        <v>#DIV/0!</v>
      </c>
      <c r="D44">
        <f>SUMIFS(Tabla_Registro_de_movimientos_app.accdb[Importe_Gasto],Tabla_Registro_de_movimientos_app.accdb[Sucursal],Produccion!$D$5,Tabla_Registro_de_movimientos_app.accdb[Detalle de movimiento],Produccion!A44,Tabla_Registro_de_movimientos_app.accdb[Fecha],"&gt;"&amp;Produccion!$B$4,Tabla_Registro_de_movimientos_app.accdb[Fecha],"&lt;="&amp;Produccion!$C$4)</f>
        <v>0</v>
      </c>
      <c r="E44" s="21" t="e">
        <f>D44/$D$57</f>
        <v>#DIV/0!</v>
      </c>
      <c r="F44" s="12"/>
      <c r="G44" s="36">
        <f t="shared" ref="G44:G56" si="11">B44+D44</f>
        <v>0</v>
      </c>
      <c r="H44" s="41" t="e">
        <f>G44/$G$57</f>
        <v>#DIV/0!</v>
      </c>
    </row>
    <row r="45" spans="1:8" x14ac:dyDescent="0.25">
      <c r="A45" s="27" t="s">
        <v>63</v>
      </c>
      <c r="B45" s="115">
        <f>SUMIFS(Tabla_Registro_de_movimientos_app.accdb[Importe_Gasto],Tabla_Registro_de_movimientos_app.accdb[Sucursal],Produccion!$B$5,Tabla_Registro_de_movimientos_app.accdb[Detalle de movimiento],Produccion!A45,Tabla_Registro_de_movimientos_app.accdb[Fecha],"&gt;"&amp;Produccion!$B$4,Tabla_Registro_de_movimientos_app.accdb[Fecha],"&lt;="&amp;Produccion!$C$4)</f>
        <v>0</v>
      </c>
      <c r="C45" s="21" t="e">
        <f t="shared" ref="C45:C56" si="12">B45/$B$57</f>
        <v>#DIV/0!</v>
      </c>
      <c r="D45">
        <f>SUMIFS(Tabla_Registro_de_movimientos_app.accdb[Importe_Gasto],Tabla_Registro_de_movimientos_app.accdb[Sucursal],Produccion!$D$5,Tabla_Registro_de_movimientos_app.accdb[Detalle de movimiento],Produccion!A45,Tabla_Registro_de_movimientos_app.accdb[Fecha],"&gt;"&amp;Produccion!$B$4,Tabla_Registro_de_movimientos_app.accdb[Fecha],"&lt;="&amp;Produccion!$C$4)</f>
        <v>0</v>
      </c>
      <c r="E45" s="21" t="e">
        <f t="shared" ref="E45:E56" si="13">D45/$D$57</f>
        <v>#DIV/0!</v>
      </c>
      <c r="F45" s="12"/>
      <c r="G45" s="36">
        <f t="shared" si="11"/>
        <v>0</v>
      </c>
      <c r="H45" s="41" t="e">
        <f t="shared" ref="H45:H56" si="14">G45/$G$57</f>
        <v>#DIV/0!</v>
      </c>
    </row>
    <row r="46" spans="1:8" x14ac:dyDescent="0.25">
      <c r="A46" s="27" t="s">
        <v>64</v>
      </c>
      <c r="B46" s="115">
        <f>SUMIFS(Tabla_Registro_de_movimientos_app.accdb[Importe_Gasto],Tabla_Registro_de_movimientos_app.accdb[Sucursal],Produccion!$B$5,Tabla_Registro_de_movimientos_app.accdb[Detalle de movimiento],Produccion!A46,Tabla_Registro_de_movimientos_app.accdb[Fecha],"&gt;"&amp;Produccion!$B$4,Tabla_Registro_de_movimientos_app.accdb[Fecha],"&lt;="&amp;Produccion!$C$4)</f>
        <v>0</v>
      </c>
      <c r="C46" s="21" t="e">
        <f t="shared" si="12"/>
        <v>#DIV/0!</v>
      </c>
      <c r="D46">
        <f>SUMIFS(Tabla_Registro_de_movimientos_app.accdb[Importe_Gasto],Tabla_Registro_de_movimientos_app.accdb[Sucursal],Produccion!$D$5,Tabla_Registro_de_movimientos_app.accdb[Detalle de movimiento],Produccion!A46,Tabla_Registro_de_movimientos_app.accdb[Fecha],"&gt;"&amp;Produccion!$B$4,Tabla_Registro_de_movimientos_app.accdb[Fecha],"&lt;="&amp;Produccion!$C$4)</f>
        <v>0</v>
      </c>
      <c r="E46" s="21" t="e">
        <f t="shared" si="13"/>
        <v>#DIV/0!</v>
      </c>
      <c r="F46" s="12"/>
      <c r="G46" s="36">
        <f t="shared" si="11"/>
        <v>0</v>
      </c>
      <c r="H46" s="41" t="e">
        <f t="shared" si="14"/>
        <v>#DIV/0!</v>
      </c>
    </row>
    <row r="47" spans="1:8" x14ac:dyDescent="0.25">
      <c r="A47" s="27" t="s">
        <v>65</v>
      </c>
      <c r="B47" s="115">
        <f>SUMIFS(Tabla_Registro_de_movimientos_app.accdb[Importe_Gasto],Tabla_Registro_de_movimientos_app.accdb[Sucursal],Produccion!$B$5,Tabla_Registro_de_movimientos_app.accdb[Detalle de movimiento],Produccion!A47,Tabla_Registro_de_movimientos_app.accdb[Fecha],"&gt;"&amp;Produccion!$B$4,Tabla_Registro_de_movimientos_app.accdb[Fecha],"&lt;="&amp;Produccion!$C$4)</f>
        <v>0</v>
      </c>
      <c r="C47" s="21" t="e">
        <f t="shared" si="12"/>
        <v>#DIV/0!</v>
      </c>
      <c r="D47">
        <f>SUMIFS(Tabla_Registro_de_movimientos_app.accdb[Importe_Gasto],Tabla_Registro_de_movimientos_app.accdb[Sucursal],Produccion!$D$5,Tabla_Registro_de_movimientos_app.accdb[Detalle de movimiento],Produccion!A47,Tabla_Registro_de_movimientos_app.accdb[Fecha],"&gt;"&amp;Produccion!$B$4,Tabla_Registro_de_movimientos_app.accdb[Fecha],"&lt;="&amp;Produccion!$C$4)</f>
        <v>0</v>
      </c>
      <c r="E47" s="21" t="e">
        <f t="shared" si="13"/>
        <v>#DIV/0!</v>
      </c>
      <c r="F47" s="12"/>
      <c r="G47" s="36">
        <f t="shared" si="11"/>
        <v>0</v>
      </c>
      <c r="H47" s="41" t="e">
        <f t="shared" si="14"/>
        <v>#DIV/0!</v>
      </c>
    </row>
    <row r="48" spans="1:8" x14ac:dyDescent="0.25">
      <c r="A48" s="27" t="s">
        <v>66</v>
      </c>
      <c r="B48" s="115">
        <f>SUMIFS(Tabla_Registro_de_movimientos_app.accdb[Importe_Gasto],Tabla_Registro_de_movimientos_app.accdb[Sucursal],Produccion!$B$5,Tabla_Registro_de_movimientos_app.accdb[Detalle de movimiento],Produccion!A48,Tabla_Registro_de_movimientos_app.accdb[Fecha],"&gt;"&amp;Produccion!$B$4,Tabla_Registro_de_movimientos_app.accdb[Fecha],"&lt;="&amp;Produccion!$C$4)</f>
        <v>0</v>
      </c>
      <c r="C48" s="21" t="e">
        <f t="shared" si="12"/>
        <v>#DIV/0!</v>
      </c>
      <c r="D48">
        <f>SUMIFS(Tabla_Registro_de_movimientos_app.accdb[Importe_Gasto],Tabla_Registro_de_movimientos_app.accdb[Sucursal],Produccion!$D$5,Tabla_Registro_de_movimientos_app.accdb[Detalle de movimiento],Produccion!A48,Tabla_Registro_de_movimientos_app.accdb[Fecha],"&gt;"&amp;Produccion!$B$4,Tabla_Registro_de_movimientos_app.accdb[Fecha],"&lt;="&amp;Produccion!$C$4)</f>
        <v>0</v>
      </c>
      <c r="E48" s="21" t="e">
        <f t="shared" si="13"/>
        <v>#DIV/0!</v>
      </c>
      <c r="F48" s="12"/>
      <c r="G48" s="36">
        <f t="shared" si="11"/>
        <v>0</v>
      </c>
      <c r="H48" s="41" t="e">
        <f t="shared" si="14"/>
        <v>#DIV/0!</v>
      </c>
    </row>
    <row r="49" spans="1:8" x14ac:dyDescent="0.25">
      <c r="A49" s="27" t="s">
        <v>67</v>
      </c>
      <c r="B49" s="115">
        <f>SUMIFS(Tabla_Registro_de_movimientos_app.accdb[Importe_Gasto],Tabla_Registro_de_movimientos_app.accdb[Sucursal],Produccion!$B$5,Tabla_Registro_de_movimientos_app.accdb[Detalle de movimiento],Produccion!A49,Tabla_Registro_de_movimientos_app.accdb[Fecha],"&gt;"&amp;Produccion!$B$4,Tabla_Registro_de_movimientos_app.accdb[Fecha],"&lt;="&amp;Produccion!$C$4)</f>
        <v>0</v>
      </c>
      <c r="C49" s="21" t="e">
        <f t="shared" si="12"/>
        <v>#DIV/0!</v>
      </c>
      <c r="D49">
        <f>SUMIFS(Tabla_Registro_de_movimientos_app.accdb[Importe_Gasto],Tabla_Registro_de_movimientos_app.accdb[Sucursal],Produccion!$D$5,Tabla_Registro_de_movimientos_app.accdb[Detalle de movimiento],Produccion!A49,Tabla_Registro_de_movimientos_app.accdb[Fecha],"&gt;"&amp;Produccion!$B$4,Tabla_Registro_de_movimientos_app.accdb[Fecha],"&lt;="&amp;Produccion!$C$4)</f>
        <v>0</v>
      </c>
      <c r="E49" s="21" t="e">
        <f t="shared" si="13"/>
        <v>#DIV/0!</v>
      </c>
      <c r="F49" s="12"/>
      <c r="G49" s="36">
        <f t="shared" si="11"/>
        <v>0</v>
      </c>
      <c r="H49" s="41" t="e">
        <f t="shared" si="14"/>
        <v>#DIV/0!</v>
      </c>
    </row>
    <row r="50" spans="1:8" x14ac:dyDescent="0.25">
      <c r="A50" s="27" t="s">
        <v>68</v>
      </c>
      <c r="B50" s="115">
        <f>SUMIFS(Tabla_Registro_de_movimientos_app.accdb[Importe_Gasto],Tabla_Registro_de_movimientos_app.accdb[Sucursal],Produccion!$B$5,Tabla_Registro_de_movimientos_app.accdb[Detalle de movimiento],Produccion!A50,Tabla_Registro_de_movimientos_app.accdb[Fecha],"&gt;"&amp;Produccion!$B$4,Tabla_Registro_de_movimientos_app.accdb[Fecha],"&lt;="&amp;Produccion!$C$4)</f>
        <v>0</v>
      </c>
      <c r="C50" s="21" t="e">
        <f t="shared" si="12"/>
        <v>#DIV/0!</v>
      </c>
      <c r="D50">
        <f>SUMIFS(Tabla_Registro_de_movimientos_app.accdb[Importe_Gasto],Tabla_Registro_de_movimientos_app.accdb[Sucursal],Produccion!$D$5,Tabla_Registro_de_movimientos_app.accdb[Detalle de movimiento],Produccion!A50,Tabla_Registro_de_movimientos_app.accdb[Fecha],"&gt;"&amp;Produccion!$B$4,Tabla_Registro_de_movimientos_app.accdb[Fecha],"&lt;="&amp;Produccion!$C$4)</f>
        <v>0</v>
      </c>
      <c r="E50" s="21" t="e">
        <f t="shared" si="13"/>
        <v>#DIV/0!</v>
      </c>
      <c r="F50" s="12"/>
      <c r="G50" s="36">
        <f t="shared" si="11"/>
        <v>0</v>
      </c>
      <c r="H50" s="41" t="e">
        <f t="shared" si="14"/>
        <v>#DIV/0!</v>
      </c>
    </row>
    <row r="51" spans="1:8" x14ac:dyDescent="0.25">
      <c r="A51" s="27" t="s">
        <v>69</v>
      </c>
      <c r="B51" s="115">
        <f>SUMIFS(Tabla_Registro_de_movimientos_app.accdb[Importe_Gasto],Tabla_Registro_de_movimientos_app.accdb[Sucursal],Produccion!$B$5,Tabla_Registro_de_movimientos_app.accdb[Detalle de movimiento],Produccion!A51,Tabla_Registro_de_movimientos_app.accdb[Fecha],"&gt;"&amp;Produccion!$B$4,Tabla_Registro_de_movimientos_app.accdb[Fecha],"&lt;="&amp;Produccion!$C$4)</f>
        <v>0</v>
      </c>
      <c r="C51" s="21" t="e">
        <f t="shared" si="12"/>
        <v>#DIV/0!</v>
      </c>
      <c r="D51">
        <f>SUMIFS(Tabla_Registro_de_movimientos_app.accdb[Importe_Gasto],Tabla_Registro_de_movimientos_app.accdb[Sucursal],Produccion!$D$5,Tabla_Registro_de_movimientos_app.accdb[Detalle de movimiento],Produccion!A51,Tabla_Registro_de_movimientos_app.accdb[Fecha],"&gt;"&amp;Produccion!$B$4,Tabla_Registro_de_movimientos_app.accdb[Fecha],"&lt;="&amp;Produccion!$C$4)</f>
        <v>0</v>
      </c>
      <c r="E51" s="21" t="e">
        <f t="shared" si="13"/>
        <v>#DIV/0!</v>
      </c>
      <c r="F51" s="12"/>
      <c r="G51" s="36">
        <f t="shared" si="11"/>
        <v>0</v>
      </c>
      <c r="H51" s="41" t="e">
        <f t="shared" si="14"/>
        <v>#DIV/0!</v>
      </c>
    </row>
    <row r="52" spans="1:8" x14ac:dyDescent="0.25">
      <c r="A52" s="27" t="s">
        <v>70</v>
      </c>
      <c r="B52" s="115">
        <f>SUMIFS(Tabla_Registro_de_movimientos_app.accdb[Importe_Gasto],Tabla_Registro_de_movimientos_app.accdb[Sucursal],Produccion!$B$5,Tabla_Registro_de_movimientos_app.accdb[Detalle de movimiento],Produccion!A52,Tabla_Registro_de_movimientos_app.accdb[Fecha],"&gt;"&amp;Produccion!$B$4,Tabla_Registro_de_movimientos_app.accdb[Fecha],"&lt;="&amp;Produccion!$C$4)</f>
        <v>0</v>
      </c>
      <c r="C52" s="21" t="e">
        <f t="shared" si="12"/>
        <v>#DIV/0!</v>
      </c>
      <c r="D52">
        <f>SUMIFS(Tabla_Registro_de_movimientos_app.accdb[Importe_Gasto],Tabla_Registro_de_movimientos_app.accdb[Sucursal],Produccion!$D$5,Tabla_Registro_de_movimientos_app.accdb[Detalle de movimiento],Produccion!A52,Tabla_Registro_de_movimientos_app.accdb[Fecha],"&gt;"&amp;Produccion!$B$4,Tabla_Registro_de_movimientos_app.accdb[Fecha],"&lt;="&amp;Produccion!$C$4)</f>
        <v>0</v>
      </c>
      <c r="E52" s="21" t="e">
        <f t="shared" si="13"/>
        <v>#DIV/0!</v>
      </c>
      <c r="F52" s="12"/>
      <c r="G52" s="36">
        <f t="shared" si="11"/>
        <v>0</v>
      </c>
      <c r="H52" s="41" t="e">
        <f t="shared" si="14"/>
        <v>#DIV/0!</v>
      </c>
    </row>
    <row r="53" spans="1:8" x14ac:dyDescent="0.25">
      <c r="A53" s="27" t="s">
        <v>71</v>
      </c>
      <c r="B53" s="115">
        <f>SUMIFS(Tabla_Registro_de_movimientos_app.accdb[Importe_Gasto],Tabla_Registro_de_movimientos_app.accdb[Sucursal],Produccion!$B$5,Tabla_Registro_de_movimientos_app.accdb[Detalle de movimiento],Produccion!A53,Tabla_Registro_de_movimientos_app.accdb[Fecha],"&gt;"&amp;Produccion!$B$4,Tabla_Registro_de_movimientos_app.accdb[Fecha],"&lt;="&amp;Produccion!$C$4)</f>
        <v>0</v>
      </c>
      <c r="C53" s="21" t="e">
        <f t="shared" si="12"/>
        <v>#DIV/0!</v>
      </c>
      <c r="D53">
        <f>SUMIFS(Tabla_Registro_de_movimientos_app.accdb[Importe_Gasto],Tabla_Registro_de_movimientos_app.accdb[Sucursal],Produccion!$D$5,Tabla_Registro_de_movimientos_app.accdb[Detalle de movimiento],Produccion!A53,Tabla_Registro_de_movimientos_app.accdb[Fecha],"&gt;"&amp;Produccion!$B$4,Tabla_Registro_de_movimientos_app.accdb[Fecha],"&lt;="&amp;Produccion!$C$4)</f>
        <v>0</v>
      </c>
      <c r="E53" s="21" t="e">
        <f t="shared" si="13"/>
        <v>#DIV/0!</v>
      </c>
      <c r="F53" s="12"/>
      <c r="G53" s="36">
        <f t="shared" si="11"/>
        <v>0</v>
      </c>
      <c r="H53" s="41" t="e">
        <f t="shared" si="14"/>
        <v>#DIV/0!</v>
      </c>
    </row>
    <row r="54" spans="1:8" x14ac:dyDescent="0.25">
      <c r="A54" s="27" t="s">
        <v>72</v>
      </c>
      <c r="B54" s="115">
        <f>SUMIFS(Tabla_Registro_de_movimientos_app.accdb[Importe_Gasto],Tabla_Registro_de_movimientos_app.accdb[Sucursal],Produccion!$B$5,Tabla_Registro_de_movimientos_app.accdb[Detalle de movimiento],Produccion!A54,Tabla_Registro_de_movimientos_app.accdb[Fecha],"&gt;"&amp;Produccion!$B$4,Tabla_Registro_de_movimientos_app.accdb[Fecha],"&lt;="&amp;Produccion!$C$4)</f>
        <v>0</v>
      </c>
      <c r="C54" s="21" t="e">
        <f t="shared" si="12"/>
        <v>#DIV/0!</v>
      </c>
      <c r="D54">
        <f>SUMIFS(Tabla_Registro_de_movimientos_app.accdb[Importe_Gasto],Tabla_Registro_de_movimientos_app.accdb[Sucursal],Produccion!$D$5,Tabla_Registro_de_movimientos_app.accdb[Detalle de movimiento],Produccion!A54,Tabla_Registro_de_movimientos_app.accdb[Fecha],"&gt;"&amp;Produccion!$B$4,Tabla_Registro_de_movimientos_app.accdb[Fecha],"&lt;="&amp;Produccion!$C$4)</f>
        <v>0</v>
      </c>
      <c r="E54" s="21" t="e">
        <f t="shared" si="13"/>
        <v>#DIV/0!</v>
      </c>
      <c r="F54" s="12"/>
      <c r="G54" s="36">
        <f t="shared" si="11"/>
        <v>0</v>
      </c>
      <c r="H54" s="41" t="e">
        <f t="shared" si="14"/>
        <v>#DIV/0!</v>
      </c>
    </row>
    <row r="55" spans="1:8" x14ac:dyDescent="0.25">
      <c r="A55" s="27" t="s">
        <v>73</v>
      </c>
      <c r="B55" s="115">
        <f>SUMIFS(Tabla_Registro_de_movimientos_app.accdb[Importe_Gasto],Tabla_Registro_de_movimientos_app.accdb[Sucursal],Produccion!$B$5,Tabla_Registro_de_movimientos_app.accdb[Detalle de movimiento],Produccion!A55,Tabla_Registro_de_movimientos_app.accdb[Fecha],"&gt;"&amp;Produccion!$B$4,Tabla_Registro_de_movimientos_app.accdb[Fecha],"&lt;="&amp;Produccion!$C$4)</f>
        <v>0</v>
      </c>
      <c r="C55" s="21" t="e">
        <f t="shared" si="12"/>
        <v>#DIV/0!</v>
      </c>
      <c r="D55">
        <f>SUMIFS(Tabla_Registro_de_movimientos_app.accdb[Importe_Gasto],Tabla_Registro_de_movimientos_app.accdb[Sucursal],Produccion!$D$5,Tabla_Registro_de_movimientos_app.accdb[Detalle de movimiento],Produccion!A55,Tabla_Registro_de_movimientos_app.accdb[Fecha],"&gt;"&amp;Produccion!$B$4,Tabla_Registro_de_movimientos_app.accdb[Fecha],"&lt;="&amp;Produccion!$C$4)</f>
        <v>0</v>
      </c>
      <c r="E55" s="21" t="e">
        <f t="shared" si="13"/>
        <v>#DIV/0!</v>
      </c>
      <c r="F55" s="12"/>
      <c r="G55" s="36">
        <f t="shared" si="11"/>
        <v>0</v>
      </c>
      <c r="H55" s="41" t="e">
        <f t="shared" si="14"/>
        <v>#DIV/0!</v>
      </c>
    </row>
    <row r="56" spans="1:8" x14ac:dyDescent="0.25">
      <c r="A56" s="27" t="s">
        <v>74</v>
      </c>
      <c r="B56" s="115">
        <f>SUMIFS(Tabla_Registro_de_movimientos_app.accdb[Importe_Gasto],Tabla_Registro_de_movimientos_app.accdb[Sucursal],Produccion!$B$5,Tabla_Registro_de_movimientos_app.accdb[Detalle de movimiento],Produccion!A56,Tabla_Registro_de_movimientos_app.accdb[Fecha],"&gt;"&amp;Produccion!$B$4,Tabla_Registro_de_movimientos_app.accdb[Fecha],"&lt;="&amp;Produccion!$C$4)</f>
        <v>0</v>
      </c>
      <c r="C56" s="21" t="e">
        <f t="shared" si="12"/>
        <v>#DIV/0!</v>
      </c>
      <c r="D56">
        <f>SUMIFS(Tabla_Registro_de_movimientos_app.accdb[Importe_Gasto],Tabla_Registro_de_movimientos_app.accdb[Sucursal],Produccion!$D$5,Tabla_Registro_de_movimientos_app.accdb[Detalle de movimiento],Produccion!A56,Tabla_Registro_de_movimientos_app.accdb[Fecha],"&gt;"&amp;Produccion!$B$4,Tabla_Registro_de_movimientos_app.accdb[Fecha],"&lt;="&amp;Produccion!$C$4)</f>
        <v>0</v>
      </c>
      <c r="E56" s="21" t="e">
        <f t="shared" si="13"/>
        <v>#DIV/0!</v>
      </c>
      <c r="F56" s="12"/>
      <c r="G56" s="36">
        <f t="shared" si="11"/>
        <v>0</v>
      </c>
      <c r="H56" s="41" t="e">
        <f t="shared" si="14"/>
        <v>#DIV/0!</v>
      </c>
    </row>
    <row r="57" spans="1:8" x14ac:dyDescent="0.25">
      <c r="A57" s="28" t="s">
        <v>75</v>
      </c>
      <c r="B57" s="23">
        <f>SUM(B44:B56)</f>
        <v>0</v>
      </c>
      <c r="C57" s="24" t="e">
        <f>B57/B10</f>
        <v>#DIV/0!</v>
      </c>
      <c r="D57" s="23">
        <f>SUM(D44:D56)</f>
        <v>0</v>
      </c>
      <c r="E57" s="24" t="e">
        <f>D57/D10</f>
        <v>#DIV/0!</v>
      </c>
      <c r="F57" s="12"/>
      <c r="G57" s="38">
        <f>SUM(G44:G56)</f>
        <v>0</v>
      </c>
      <c r="H57" s="39" t="e">
        <f>G57/G10</f>
        <v>#DIV/0!</v>
      </c>
    </row>
    <row r="58" spans="1:8" x14ac:dyDescent="0.25">
      <c r="A58" s="11"/>
      <c r="B58" s="17"/>
      <c r="C58" s="13"/>
      <c r="D58" s="17"/>
      <c r="E58" s="13"/>
      <c r="F58" s="12"/>
      <c r="G58" s="12"/>
    </row>
    <row r="59" spans="1:8" x14ac:dyDescent="0.25">
      <c r="A59" s="11"/>
      <c r="B59" s="17"/>
      <c r="C59" s="13"/>
      <c r="D59" s="17"/>
      <c r="E59" s="13"/>
      <c r="F59" s="12"/>
      <c r="G59" s="12"/>
    </row>
    <row r="60" spans="1:8" x14ac:dyDescent="0.25">
      <c r="A60" s="42" t="s">
        <v>95</v>
      </c>
      <c r="B60" s="43">
        <f>B23-B41-B57</f>
        <v>0</v>
      </c>
      <c r="C60" s="30">
        <v>6.6699999999999995E-2</v>
      </c>
      <c r="D60" s="43">
        <f>D23-D41-D57</f>
        <v>0</v>
      </c>
      <c r="E60" s="44">
        <v>-0.86419999999999997</v>
      </c>
      <c r="F60" s="45"/>
      <c r="G60" s="43">
        <f>B60+D60</f>
        <v>0</v>
      </c>
      <c r="H60" s="30" t="e">
        <f>G60/G10</f>
        <v>#DIV/0!</v>
      </c>
    </row>
    <row r="61" spans="1:8" x14ac:dyDescent="0.25">
      <c r="A61" s="12"/>
      <c r="B61" s="12"/>
      <c r="C61" s="13"/>
      <c r="D61" s="12"/>
      <c r="E61" s="13"/>
      <c r="F61" s="12"/>
      <c r="G61" s="12"/>
    </row>
    <row r="62" spans="1:8" x14ac:dyDescent="0.25">
      <c r="A62" s="11" t="s">
        <v>96</v>
      </c>
      <c r="B62" s="12"/>
      <c r="C62" s="13"/>
      <c r="D62" s="46"/>
      <c r="E62" s="46"/>
      <c r="F62" s="46"/>
      <c r="G62" s="46"/>
    </row>
    <row r="63" spans="1:8" x14ac:dyDescent="0.25">
      <c r="A63" s="27" t="s">
        <v>77</v>
      </c>
      <c r="B63" s="20" t="e">
        <f>Matriz!C51*Produccion!C10</f>
        <v>#DIV/0!</v>
      </c>
      <c r="C63" s="21"/>
      <c r="D63" s="20" t="e">
        <f>Matriz!C51*Produccion!E10</f>
        <v>#DIV/0!</v>
      </c>
      <c r="E63" s="21"/>
      <c r="F63" s="46"/>
      <c r="G63" s="36" t="e">
        <f t="shared" ref="G63:G64" si="15">B63+D63</f>
        <v>#DIV/0!</v>
      </c>
      <c r="H63" s="41" t="e">
        <f>G63/$G$65</f>
        <v>#DIV/0!</v>
      </c>
    </row>
    <row r="64" spans="1:8" x14ac:dyDescent="0.25">
      <c r="A64" s="27" t="s">
        <v>78</v>
      </c>
      <c r="B64" s="12"/>
      <c r="C64" s="21"/>
      <c r="D64" s="12"/>
      <c r="E64" s="21"/>
      <c r="F64" s="46"/>
      <c r="G64" s="36">
        <f t="shared" si="15"/>
        <v>0</v>
      </c>
      <c r="H64" s="41" t="e">
        <f>G64/$G$65</f>
        <v>#DIV/0!</v>
      </c>
    </row>
    <row r="65" spans="1:11" x14ac:dyDescent="0.25">
      <c r="A65" s="28" t="s">
        <v>79</v>
      </c>
      <c r="B65" s="23" t="e">
        <f>SUM(B63:B64)</f>
        <v>#DIV/0!</v>
      </c>
      <c r="C65" s="24">
        <v>5.8000000000000003E-2</v>
      </c>
      <c r="D65" s="34" t="e">
        <f>SUM(D63:D64)</f>
        <v>#DIV/0!</v>
      </c>
      <c r="E65" s="24">
        <v>5.8000000000000003E-2</v>
      </c>
      <c r="F65" s="46"/>
      <c r="G65" s="38" t="e">
        <f>SUM(G63:G64)</f>
        <v>#DIV/0!</v>
      </c>
      <c r="H65" s="39" t="e">
        <f>G65/G10</f>
        <v>#DIV/0!</v>
      </c>
    </row>
    <row r="66" spans="1:11" x14ac:dyDescent="0.25">
      <c r="A66" s="12"/>
      <c r="B66" s="12"/>
      <c r="C66" s="13"/>
      <c r="D66" s="12"/>
      <c r="E66" s="13"/>
      <c r="F66" s="46"/>
      <c r="G66" s="46"/>
    </row>
    <row r="67" spans="1:11" x14ac:dyDescent="0.25">
      <c r="A67" s="31" t="s">
        <v>80</v>
      </c>
      <c r="B67" s="32" t="e">
        <f>B60-B65</f>
        <v>#DIV/0!</v>
      </c>
      <c r="C67" s="33" t="e">
        <f>B67/B10</f>
        <v>#DIV/0!</v>
      </c>
      <c r="D67" s="32" t="e">
        <f>D60-D65</f>
        <v>#DIV/0!</v>
      </c>
      <c r="E67" s="47" t="e">
        <f>D67/D10</f>
        <v>#DIV/0!</v>
      </c>
      <c r="F67" s="46"/>
      <c r="G67" s="32" t="e">
        <f>B67+D67</f>
        <v>#DIV/0!</v>
      </c>
      <c r="H67" s="30" t="e">
        <f>G67/G10</f>
        <v>#DIV/0!</v>
      </c>
      <c r="K67" s="50"/>
    </row>
    <row r="68" spans="1:11" x14ac:dyDescent="0.25">
      <c r="A68" s="12"/>
      <c r="B68" s="12"/>
      <c r="C68" s="13"/>
      <c r="D68" s="12"/>
      <c r="E68" s="13"/>
      <c r="F68" s="221"/>
      <c r="G68" s="221"/>
      <c r="H68" s="46"/>
    </row>
    <row r="69" spans="1:11" x14ac:dyDescent="0.25">
      <c r="A69" s="15" t="s">
        <v>81</v>
      </c>
      <c r="B69" s="12"/>
      <c r="C69" s="13"/>
      <c r="D69" s="12"/>
      <c r="E69" s="13"/>
      <c r="F69" s="222"/>
      <c r="G69" s="222"/>
      <c r="H69" s="13"/>
    </row>
    <row r="70" spans="1:11" x14ac:dyDescent="0.25">
      <c r="A70" s="12"/>
      <c r="B70" s="12">
        <v>0</v>
      </c>
      <c r="C70" s="13"/>
      <c r="D70" s="12">
        <v>0</v>
      </c>
      <c r="E70" s="13"/>
      <c r="F70" s="12"/>
      <c r="G70" s="36">
        <f t="shared" ref="G70:G76" si="16">B70+D70</f>
        <v>0</v>
      </c>
      <c r="H70" s="13"/>
    </row>
    <row r="71" spans="1:11" x14ac:dyDescent="0.25">
      <c r="A71" s="12"/>
      <c r="B71" s="12">
        <v>0</v>
      </c>
      <c r="C71" s="13"/>
      <c r="D71" s="12">
        <v>0</v>
      </c>
      <c r="E71" s="13"/>
      <c r="F71" s="12"/>
      <c r="G71" s="36">
        <f t="shared" si="16"/>
        <v>0</v>
      </c>
      <c r="H71" s="13"/>
    </row>
    <row r="72" spans="1:11" x14ac:dyDescent="0.25">
      <c r="A72" s="12"/>
      <c r="B72" s="12">
        <v>0</v>
      </c>
      <c r="C72" s="13"/>
      <c r="D72" s="12">
        <v>0</v>
      </c>
      <c r="E72" s="13"/>
      <c r="F72" s="12"/>
      <c r="G72" s="36">
        <f t="shared" si="16"/>
        <v>0</v>
      </c>
      <c r="H72" s="13"/>
    </row>
    <row r="73" spans="1:11" x14ac:dyDescent="0.25">
      <c r="A73" s="27"/>
      <c r="B73" s="12">
        <v>0</v>
      </c>
      <c r="C73" s="13"/>
      <c r="D73" s="12">
        <v>0</v>
      </c>
      <c r="E73" s="13"/>
      <c r="F73" s="12"/>
      <c r="G73" s="36">
        <f t="shared" si="16"/>
        <v>0</v>
      </c>
      <c r="H73" s="13"/>
    </row>
    <row r="74" spans="1:11" x14ac:dyDescent="0.25">
      <c r="A74" s="27"/>
      <c r="B74" s="12">
        <v>0</v>
      </c>
      <c r="C74" s="13"/>
      <c r="D74" s="12">
        <v>0</v>
      </c>
      <c r="E74" s="13"/>
      <c r="F74" s="12"/>
      <c r="G74" s="36">
        <f t="shared" si="16"/>
        <v>0</v>
      </c>
      <c r="H74" s="13"/>
    </row>
    <row r="75" spans="1:11" x14ac:dyDescent="0.25">
      <c r="A75" s="27"/>
      <c r="B75" s="12">
        <v>0</v>
      </c>
      <c r="C75" s="13"/>
      <c r="D75" s="12">
        <v>0</v>
      </c>
      <c r="E75" s="13"/>
      <c r="F75" s="12"/>
      <c r="G75" s="36">
        <f t="shared" si="16"/>
        <v>0</v>
      </c>
      <c r="H75" s="13"/>
    </row>
    <row r="76" spans="1:11" x14ac:dyDescent="0.25">
      <c r="A76" s="27"/>
      <c r="B76" s="12">
        <v>0</v>
      </c>
      <c r="C76" s="13"/>
      <c r="D76" s="12">
        <v>0</v>
      </c>
      <c r="E76" s="13"/>
      <c r="F76" s="12"/>
      <c r="G76" s="36">
        <f t="shared" si="16"/>
        <v>0</v>
      </c>
      <c r="H76" s="13"/>
    </row>
    <row r="77" spans="1:11" x14ac:dyDescent="0.25">
      <c r="A77" s="34" t="s">
        <v>82</v>
      </c>
      <c r="B77" s="34">
        <f>SUM(B70:B76)</f>
        <v>0</v>
      </c>
      <c r="C77" s="18"/>
      <c r="D77" s="34">
        <f>SUM(D70:D76)</f>
        <v>0</v>
      </c>
      <c r="E77" s="13"/>
      <c r="F77" s="12"/>
      <c r="G77" s="23">
        <f>SUM(G70:G76)</f>
        <v>0</v>
      </c>
      <c r="H77" s="13"/>
    </row>
  </sheetData>
  <mergeCells count="5">
    <mergeCell ref="B5:C5"/>
    <mergeCell ref="D5:E5"/>
    <mergeCell ref="F68:G68"/>
    <mergeCell ref="F69:G69"/>
    <mergeCell ref="G4:H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CD71-A846-4A6C-B41E-ECF9F1A76CC5}">
  <sheetPr codeName="Hoja17"/>
  <dimension ref="A1:K77"/>
  <sheetViews>
    <sheetView workbookViewId="0">
      <selection activeCell="G4" sqref="G4:H5"/>
    </sheetView>
  </sheetViews>
  <sheetFormatPr baseColWidth="10" defaultRowHeight="15" x14ac:dyDescent="0.25"/>
  <cols>
    <col min="1" max="1" width="38.28515625" bestFit="1" customWidth="1"/>
    <col min="2" max="2" width="12.28515625" bestFit="1" customWidth="1"/>
  </cols>
  <sheetData>
    <row r="1" spans="1:8" x14ac:dyDescent="0.25">
      <c r="A1" s="11" t="s">
        <v>31</v>
      </c>
      <c r="B1" s="12"/>
      <c r="C1" s="13"/>
      <c r="D1" s="12"/>
      <c r="E1" s="13"/>
      <c r="F1" s="12"/>
      <c r="G1" s="12"/>
      <c r="H1" s="13"/>
    </row>
    <row r="2" spans="1:8" x14ac:dyDescent="0.25">
      <c r="A2" s="11" t="s">
        <v>32</v>
      </c>
      <c r="B2" s="12"/>
      <c r="C2" s="13"/>
      <c r="D2" s="12"/>
      <c r="E2" s="13"/>
      <c r="F2" s="12"/>
      <c r="G2" s="12"/>
      <c r="H2" s="13"/>
    </row>
    <row r="3" spans="1:8" x14ac:dyDescent="0.25">
      <c r="A3" s="14" t="s">
        <v>97</v>
      </c>
      <c r="B3" s="12"/>
      <c r="C3" s="13"/>
      <c r="D3" s="12"/>
      <c r="E3" s="13"/>
      <c r="F3" s="12"/>
      <c r="G3" s="12"/>
      <c r="H3" s="13"/>
    </row>
    <row r="4" spans="1:8" x14ac:dyDescent="0.25">
      <c r="A4" s="12"/>
      <c r="B4" s="183">
        <v>45070</v>
      </c>
      <c r="C4" s="183">
        <v>45077</v>
      </c>
      <c r="D4" s="12"/>
      <c r="E4" s="13"/>
      <c r="F4" s="12"/>
      <c r="G4" s="223" t="s">
        <v>245</v>
      </c>
      <c r="H4" s="223"/>
    </row>
    <row r="5" spans="1:8" x14ac:dyDescent="0.25">
      <c r="A5" s="12"/>
      <c r="B5" s="219" t="s">
        <v>229</v>
      </c>
      <c r="C5" s="219"/>
      <c r="D5" s="220" t="s">
        <v>23</v>
      </c>
      <c r="E5" s="220"/>
      <c r="F5" s="12"/>
      <c r="G5" s="223"/>
      <c r="H5" s="223"/>
    </row>
    <row r="6" spans="1:8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2"/>
      <c r="G6" s="35" t="s">
        <v>36</v>
      </c>
      <c r="H6" s="35" t="s">
        <v>37</v>
      </c>
    </row>
    <row r="7" spans="1:8" x14ac:dyDescent="0.25">
      <c r="A7" s="19" t="s">
        <v>27</v>
      </c>
      <c r="B7" s="6">
        <f>SUMIFS(Tabla_Registro_de_movimientos_app.accdb[Importe_Ingreso],Tabla_Registro_de_movimientos_app.accdb[Sucursal],Produccion_Semanal!$B$5,Tabla_Registro_de_movimientos_app.accdb[Detalle de movimiento],Produccion_Semanal!A7,Tabla_Registro_de_movimientos_app.accdb[Fecha],"&gt;"&amp;Produccion_Semanal!$B$4,Tabla_Registro_de_movimientos_app.accdb[Fecha],"&lt;="&amp;Produccion_Semanal!$C$4)</f>
        <v>0</v>
      </c>
      <c r="C7" s="21">
        <v>1</v>
      </c>
      <c r="D7" s="6">
        <f>SUMIFS(Tabla_Registro_de_movimientos_app.accdb[Importe_Ingreso],Tabla_Registro_de_movimientos_app.accdb[Sucursal],Produccion_Semanal!$D$5,Tabla_Registro_de_movimientos_app.accdb[Detalle de movimiento],Produccion_Semanal!A7,Tabla_Registro_de_movimientos_app.accdb[Fecha],"&gt;"&amp;Produccion_Semanal!$B$4,Tabla_Registro_de_movimientos_app.accdb[Fecha],"&lt;="&amp;Produccion_Semanal!$C$4)</f>
        <v>0</v>
      </c>
      <c r="E7" s="48" t="e">
        <f>D7/$D$10</f>
        <v>#DIV/0!</v>
      </c>
      <c r="F7" s="12"/>
      <c r="G7" s="36">
        <f>B7+D7</f>
        <v>0</v>
      </c>
      <c r="H7" s="37" t="e">
        <f>G7/$G$10</f>
        <v>#DIV/0!</v>
      </c>
    </row>
    <row r="8" spans="1:8" x14ac:dyDescent="0.25">
      <c r="A8" s="19" t="s">
        <v>98</v>
      </c>
      <c r="B8" s="6">
        <f>SUMIFS(Tabla_Registro_de_movimientos_app.accdb[Importe_Ingreso],Tabla_Registro_de_movimientos_app.accdb[Sucursal],Produccion_Semanal!$B$5,Tabla_Registro_de_movimientos_app.accdb[Detalle de movimiento],Produccion_Semanal!A8,Tabla_Registro_de_movimientos_app.accdb[Fecha],"&gt;"&amp;Produccion_Semanal!$B$4,Tabla_Registro_de_movimientos_app.accdb[Fecha],"&lt;="&amp;Produccion_Semanal!$C$4)</f>
        <v>0</v>
      </c>
      <c r="C8" s="21">
        <v>0</v>
      </c>
      <c r="D8" s="6">
        <f>SUMIFS(Tabla_Registro_de_movimientos_app.accdb[Importe_Ingreso],Tabla_Registro_de_movimientos_app.accdb[Sucursal],Produccion_Semanal!$D$5,Tabla_Registro_de_movimientos_app.accdb[Detalle de movimiento],Produccion_Semanal!A8,Tabla_Registro_de_movimientos_app.accdb[Fecha],"&gt;"&amp;Produccion_Semanal!$B$4,Tabla_Registro_de_movimientos_app.accdb[Fecha],"&lt;="&amp;Produccion_Semanal!$C$4)</f>
        <v>0</v>
      </c>
      <c r="E8" s="48" t="e">
        <f t="shared" ref="E8:E9" si="0">D8/$D$10</f>
        <v>#DIV/0!</v>
      </c>
      <c r="F8" s="12"/>
      <c r="G8" s="36">
        <f t="shared" ref="G8:G9" si="1">B8+D8</f>
        <v>0</v>
      </c>
      <c r="H8" s="37" t="e">
        <f t="shared" ref="H8:H9" si="2">G8/$G$10</f>
        <v>#DIV/0!</v>
      </c>
    </row>
    <row r="9" spans="1:8" x14ac:dyDescent="0.25">
      <c r="A9" s="19" t="s">
        <v>99</v>
      </c>
      <c r="B9" s="6">
        <f>SUMIFS(Tabla_Registro_de_movimientos_app.accdb[Importe_Ingreso],Tabla_Registro_de_movimientos_app.accdb[Sucursal],Produccion_Semanal!$B$5,Tabla_Registro_de_movimientos_app.accdb[Detalle de movimiento],Produccion_Semanal!A9,Tabla_Registro_de_movimientos_app.accdb[Fecha],"&gt;"&amp;Produccion_Semanal!$B$4,Tabla_Registro_de_movimientos_app.accdb[Fecha],"&lt;="&amp;Produccion_Semanal!$C$4)</f>
        <v>0</v>
      </c>
      <c r="C9" s="21">
        <v>0</v>
      </c>
      <c r="D9" s="6">
        <f>SUMIFS(Tabla_Registro_de_movimientos_app.accdb[Importe_Ingreso],Tabla_Registro_de_movimientos_app.accdb[Sucursal],Produccion_Semanal!$D$5,Tabla_Registro_de_movimientos_app.accdb[Detalle de movimiento],Produccion_Semanal!A9,Tabla_Registro_de_movimientos_app.accdb[Fecha],"&gt;"&amp;Produccion_Semanal!$B$4,Tabla_Registro_de_movimientos_app.accdb[Fecha],"&lt;="&amp;Produccion_Semanal!$C$4)</f>
        <v>0</v>
      </c>
      <c r="E9" s="48" t="e">
        <f t="shared" si="0"/>
        <v>#DIV/0!</v>
      </c>
      <c r="F9" s="12"/>
      <c r="G9" s="36">
        <f t="shared" si="1"/>
        <v>0</v>
      </c>
      <c r="H9" s="37" t="e">
        <f t="shared" si="2"/>
        <v>#DIV/0!</v>
      </c>
    </row>
    <row r="10" spans="1:8" x14ac:dyDescent="0.25">
      <c r="A10" s="22" t="s">
        <v>38</v>
      </c>
      <c r="B10" s="23">
        <f>SUM(B7:B9)</f>
        <v>0</v>
      </c>
      <c r="C10" s="24" t="e">
        <f>B10/$G$10</f>
        <v>#DIV/0!</v>
      </c>
      <c r="D10" s="23">
        <f>SUM(D7:D9)</f>
        <v>0</v>
      </c>
      <c r="E10" s="24" t="e">
        <f>D10/$G$10</f>
        <v>#DIV/0!</v>
      </c>
      <c r="F10" s="12"/>
      <c r="G10" s="38">
        <f>SUM(G7:G9)</f>
        <v>0</v>
      </c>
      <c r="H10" s="39" t="e">
        <f>C10+E10</f>
        <v>#DIV/0!</v>
      </c>
    </row>
    <row r="11" spans="1:8" x14ac:dyDescent="0.25">
      <c r="A11" s="25"/>
      <c r="B11" s="12"/>
      <c r="C11" s="13"/>
      <c r="D11" s="12"/>
      <c r="E11" s="13"/>
      <c r="F11" s="12"/>
      <c r="G11" s="12"/>
    </row>
    <row r="12" spans="1:8" x14ac:dyDescent="0.25">
      <c r="A12" s="26" t="s">
        <v>53</v>
      </c>
      <c r="B12" s="12"/>
      <c r="C12" s="13"/>
      <c r="D12" s="12"/>
      <c r="E12" s="13"/>
      <c r="F12" s="12"/>
      <c r="G12" s="12"/>
    </row>
    <row r="13" spans="1:8" x14ac:dyDescent="0.25">
      <c r="A13" s="19" t="s">
        <v>24</v>
      </c>
      <c r="B13">
        <f>SUMIFS(Tabla_Registro_de_movimientos_app.accdb[Importe_Inventario_I],Tabla_Registro_de_movimientos_app.accdb[Sucursal],Produccion_Semanal!$B$5,Tabla_Registro_de_movimientos_app.accdb[Detalle de movimiento],Produccion_Semanal!A13,Tabla_Registro_de_movimientos_app.accdb[Fecha],"&gt;"&amp;Produccion_Semanal!$B$4,Tabla_Registro_de_movimientos_app.accdb[Fecha],"&lt;="&amp;Produccion_Semanal!$C$4)</f>
        <v>0</v>
      </c>
      <c r="C13" s="48" t="e">
        <f>B13/$B$21</f>
        <v>#DIV/0!</v>
      </c>
      <c r="D13">
        <f>SUMIFS(Tabla_Registro_de_movimientos_app.accdb[Importe_Inventario_I],Tabla_Registro_de_movimientos_app.accdb[Sucursal],Produccion_Semanal!$D$5,Tabla_Registro_de_movimientos_app.accdb[Detalle de movimiento],Produccion_Semanal!C13,Tabla_Registro_de_movimientos_app.accdb[Fecha],"&gt;"&amp;Produccion_Semanal!$B$4,Tabla_Registro_de_movimientos_app.accdb[Fecha],"&lt;="&amp;Produccion_Semanal!$C$4)</f>
        <v>0</v>
      </c>
      <c r="E13" s="13" t="e">
        <f>D13/$D$21</f>
        <v>#DIV/0!</v>
      </c>
      <c r="F13" s="12"/>
      <c r="G13" s="36">
        <f t="shared" ref="G13:G20" si="3">B13+D13</f>
        <v>0</v>
      </c>
      <c r="H13" s="49" t="e">
        <f>G13/$G$21</f>
        <v>#DIV/0!</v>
      </c>
    </row>
    <row r="14" spans="1:8" x14ac:dyDescent="0.25">
      <c r="A14" s="19" t="s">
        <v>21</v>
      </c>
      <c r="B14" s="115">
        <f>SUMIFS(Tabla_Registro_de_movimientos_app.accdb[Importe_Costo],Tabla_Registro_de_movimientos_app.accdb[Sucursal],Produccion_Semanal!$B$5,Tabla_Registro_de_movimientos_app.accdb[Detalle de movimiento],Produccion_Semanal!A14,Tabla_Registro_de_movimientos_app.accdb[Fecha],"&gt;"&amp;Produccion_Semanal!$B$4,Tabla_Registro_de_movimientos_app.accdb[Fecha],"&lt;="&amp;Produccion_Semanal!$C$4)</f>
        <v>0</v>
      </c>
      <c r="C14" s="48" t="e">
        <f t="shared" ref="C14:C20" si="4">B14/$B$21</f>
        <v>#DIV/0!</v>
      </c>
      <c r="D14">
        <f>SUMIFS(Tabla_Registro_de_movimientos_app.accdb[Importe_Costo],Tabla_Registro_de_movimientos_app.accdb[Sucursal],Produccion_Semanal!$D$5,Tabla_Registro_de_movimientos_app.accdb[Detalle de movimiento],Produccion_Semanal!C14,Tabla_Registro_de_movimientos_app.accdb[Fecha],"&gt;"&amp;Produccion_Semanal!$B$4,Tabla_Registro_de_movimientos_app.accdb[Fecha],"&lt;="&amp;Produccion_Semanal!$C$4)</f>
        <v>0</v>
      </c>
      <c r="E14" s="13" t="e">
        <f t="shared" ref="E14:E20" si="5">D14/$D$21</f>
        <v>#DIV/0!</v>
      </c>
      <c r="F14" s="12"/>
      <c r="G14" s="36">
        <f t="shared" si="3"/>
        <v>0</v>
      </c>
      <c r="H14" s="49" t="e">
        <f t="shared" ref="H14:H20" si="6">G14/$G$21</f>
        <v>#DIV/0!</v>
      </c>
    </row>
    <row r="15" spans="1:8" x14ac:dyDescent="0.25">
      <c r="A15" s="27" t="s">
        <v>54</v>
      </c>
      <c r="B15">
        <f>SUMIFS(Tabla_Registro_de_movimientos_app.accdb[Importe_Costo],Tabla_Registro_de_movimientos_app.accdb[Sucursal],Produccion_Semanal!$B$5,Tabla_Registro_de_movimientos_app.accdb[Detalle de movimiento],Produccion_Semanal!A15,Tabla_Registro_de_movimientos_app.accdb[Fecha],"&gt;"&amp;Produccion_Semanal!$B$4,Tabla_Registro_de_movimientos_app.accdb[Fecha],"&lt;="&amp;Produccion_Semanal!$C$4)</f>
        <v>0</v>
      </c>
      <c r="C15" s="48" t="e">
        <f t="shared" si="4"/>
        <v>#DIV/0!</v>
      </c>
      <c r="D15">
        <f>SUMIFS(Tabla_Registro_de_movimientos_app.accdb[Importe_Costo],Tabla_Registro_de_movimientos_app.accdb[Sucursal],Produccion_Semanal!$D$5,Tabla_Registro_de_movimientos_app.accdb[Detalle de movimiento],Produccion_Semanal!C15,Tabla_Registro_de_movimientos_app.accdb[Fecha],"&gt;"&amp;Produccion_Semanal!$B$4,Tabla_Registro_de_movimientos_app.accdb[Fecha],"&lt;="&amp;Produccion_Semanal!$C$4)</f>
        <v>0</v>
      </c>
      <c r="E15" s="13" t="e">
        <f t="shared" si="5"/>
        <v>#DIV/0!</v>
      </c>
      <c r="F15" s="12"/>
      <c r="G15" s="36">
        <f t="shared" si="3"/>
        <v>0</v>
      </c>
      <c r="H15" s="49" t="e">
        <f t="shared" si="6"/>
        <v>#DIV/0!</v>
      </c>
    </row>
    <row r="16" spans="1:8" x14ac:dyDescent="0.25">
      <c r="A16" s="19" t="s">
        <v>29</v>
      </c>
      <c r="B16">
        <f>SUMIFS(Tabla_Registro_de_movimientos_app.accdb[Importe_Costo],Tabla_Registro_de_movimientos_app.accdb[Sucursal],Produccion_Semanal!$B$5,Tabla_Registro_de_movimientos_app.accdb[Detalle de movimiento],Produccion_Semanal!A16,Tabla_Registro_de_movimientos_app.accdb[Fecha],"&gt;"&amp;Produccion_Semanal!$B$4,Tabla_Registro_de_movimientos_app.accdb[Fecha],"&lt;="&amp;Produccion_Semanal!$C$4)</f>
        <v>0</v>
      </c>
      <c r="C16" s="48" t="e">
        <f t="shared" si="4"/>
        <v>#DIV/0!</v>
      </c>
      <c r="D16">
        <f>SUMIFS(Tabla_Registro_de_movimientos_app.accdb[Importe_Costo],Tabla_Registro_de_movimientos_app.accdb[Sucursal],Produccion_Semanal!$D$5,Tabla_Registro_de_movimientos_app.accdb[Detalle de movimiento],Produccion_Semanal!C16,Tabla_Registro_de_movimientos_app.accdb[Fecha],"&gt;"&amp;Produccion_Semanal!$B$4,Tabla_Registro_de_movimientos_app.accdb[Fecha],"&lt;="&amp;Produccion_Semanal!$C$4)</f>
        <v>0</v>
      </c>
      <c r="E16" s="13" t="e">
        <f t="shared" si="5"/>
        <v>#DIV/0!</v>
      </c>
      <c r="F16" s="12"/>
      <c r="G16" s="36">
        <f t="shared" si="3"/>
        <v>0</v>
      </c>
      <c r="H16" s="49" t="e">
        <f t="shared" si="6"/>
        <v>#DIV/0!</v>
      </c>
    </row>
    <row r="17" spans="1:8" x14ac:dyDescent="0.25">
      <c r="A17" s="19" t="s">
        <v>55</v>
      </c>
      <c r="B17">
        <f>SUMIFS(Tabla_Registro_de_movimientos_app.accdb[Importe_Costo],Tabla_Registro_de_movimientos_app.accdb[Sucursal],Produccion_Semanal!$B$5,Tabla_Registro_de_movimientos_app.accdb[Detalle de movimiento],Produccion_Semanal!A17,Tabla_Registro_de_movimientos_app.accdb[Fecha],"&gt;"&amp;Produccion_Semanal!$B$4,Tabla_Registro_de_movimientos_app.accdb[Fecha],"&lt;="&amp;Produccion_Semanal!$C$4)</f>
        <v>0</v>
      </c>
      <c r="C17" s="48" t="e">
        <f t="shared" si="4"/>
        <v>#DIV/0!</v>
      </c>
      <c r="D17">
        <f>SUMIFS(Tabla_Registro_de_movimientos_app.accdb[Importe_Costo],Tabla_Registro_de_movimientos_app.accdb[Sucursal],Produccion_Semanal!$D$5,Tabla_Registro_de_movimientos_app.accdb[Detalle de movimiento],Produccion_Semanal!C17,Tabla_Registro_de_movimientos_app.accdb[Fecha],"&gt;"&amp;Produccion_Semanal!$B$4,Tabla_Registro_de_movimientos_app.accdb[Fecha],"&lt;="&amp;Produccion_Semanal!$C$4)</f>
        <v>0</v>
      </c>
      <c r="E17" s="13" t="e">
        <f t="shared" si="5"/>
        <v>#DIV/0!</v>
      </c>
      <c r="F17" s="12"/>
      <c r="G17" s="36">
        <f t="shared" si="3"/>
        <v>0</v>
      </c>
      <c r="H17" s="49" t="e">
        <f t="shared" si="6"/>
        <v>#DIV/0!</v>
      </c>
    </row>
    <row r="18" spans="1:8" x14ac:dyDescent="0.25">
      <c r="A18" s="19" t="s">
        <v>56</v>
      </c>
      <c r="B18">
        <f>SUMIFS(Tabla_Registro_de_movimientos_app.accdb[Importe_Costo],Tabla_Registro_de_movimientos_app.accdb[Sucursal],Produccion_Semanal!$B$5,Tabla_Registro_de_movimientos_app.accdb[Detalle de movimiento],Produccion_Semanal!A18,Tabla_Registro_de_movimientos_app.accdb[Fecha],"&gt;"&amp;Produccion_Semanal!$B$4,Tabla_Registro_de_movimientos_app.accdb[Fecha],"&lt;="&amp;Produccion_Semanal!$C$4)</f>
        <v>0</v>
      </c>
      <c r="C18" s="48" t="e">
        <f t="shared" si="4"/>
        <v>#DIV/0!</v>
      </c>
      <c r="D18">
        <f>SUMIFS(Tabla_Registro_de_movimientos_app.accdb[Importe_Costo],Tabla_Registro_de_movimientos_app.accdb[Sucursal],Produccion_Semanal!$D$5,Tabla_Registro_de_movimientos_app.accdb[Detalle de movimiento],Produccion_Semanal!C18,Tabla_Registro_de_movimientos_app.accdb[Fecha],"&gt;"&amp;Produccion_Semanal!$B$4,Tabla_Registro_de_movimientos_app.accdb[Fecha],"&lt;="&amp;Produccion_Semanal!$C$4)</f>
        <v>0</v>
      </c>
      <c r="E18" s="13" t="e">
        <f t="shared" si="5"/>
        <v>#DIV/0!</v>
      </c>
      <c r="F18" s="12"/>
      <c r="G18" s="36">
        <f t="shared" si="3"/>
        <v>0</v>
      </c>
      <c r="H18" s="49" t="e">
        <f t="shared" si="6"/>
        <v>#DIV/0!</v>
      </c>
    </row>
    <row r="19" spans="1:8" x14ac:dyDescent="0.25">
      <c r="A19" s="27" t="s">
        <v>25</v>
      </c>
      <c r="B19">
        <f>SUMIFS(Tabla_Registro_de_movimientos_app.accdb[Importe_Inventario_F],Tabla_Registro_de_movimientos_app.accdb[Sucursal],Produccion_Semanal!$B$5,Tabla_Registro_de_movimientos_app.accdb[Detalle de movimiento],Produccion_Semanal!A19,Tabla_Registro_de_movimientos_app.accdb[Fecha],"&gt;"&amp;Produccion_Semanal!$B$4,Tabla_Registro_de_movimientos_app.accdb[Fecha],"&lt;="&amp;Produccion_Semanal!$C$4)</f>
        <v>0</v>
      </c>
      <c r="C19" s="48" t="e">
        <f t="shared" si="4"/>
        <v>#DIV/0!</v>
      </c>
      <c r="D19">
        <f>SUMIFS(Tabla_Registro_de_movimientos_app.accdb[Importe_Inventario_F],Tabla_Registro_de_movimientos_app.accdb[Sucursal],Produccion_Semanal!$D$5,Tabla_Registro_de_movimientos_app.accdb[Detalle de movimiento],Produccion_Semanal!C19,Tabla_Registro_de_movimientos_app.accdb[Fecha],"&gt;"&amp;Produccion_Semanal!$B$4,Tabla_Registro_de_movimientos_app.accdb[Fecha],"&lt;="&amp;Produccion_Semanal!$C$4)</f>
        <v>0</v>
      </c>
      <c r="E19" s="13" t="e">
        <f t="shared" si="5"/>
        <v>#DIV/0!</v>
      </c>
      <c r="F19" s="12"/>
      <c r="G19" s="36">
        <f t="shared" si="3"/>
        <v>0</v>
      </c>
      <c r="H19" s="49" t="e">
        <f t="shared" si="6"/>
        <v>#DIV/0!</v>
      </c>
    </row>
    <row r="20" spans="1:8" x14ac:dyDescent="0.25">
      <c r="A20" s="27" t="s">
        <v>57</v>
      </c>
      <c r="B20">
        <f>SUMIFS(Tabla_Registro_de_movimientos_app.accdb[Importe_Costo],Tabla_Registro_de_movimientos_app.accdb[Sucursal],Produccion_Semanal!$B$5,Tabla_Registro_de_movimientos_app.accdb[Detalle de movimiento],Produccion_Semanal!A20,Tabla_Registro_de_movimientos_app.accdb[Fecha],"&gt;"&amp;Produccion_Semanal!$B$4,Tabla_Registro_de_movimientos_app.accdb[Fecha],"&lt;="&amp;Produccion_Semanal!$C$4)</f>
        <v>0</v>
      </c>
      <c r="C20" s="48" t="e">
        <f t="shared" si="4"/>
        <v>#DIV/0!</v>
      </c>
      <c r="D20">
        <f>SUMIFS(Tabla_Registro_de_movimientos_app.accdb[Importe_Costo],Tabla_Registro_de_movimientos_app.accdb[Sucursal],Produccion_Semanal!$D$5,Tabla_Registro_de_movimientos_app.accdb[Detalle de movimiento],Produccion_Semanal!C20,Tabla_Registro_de_movimientos_app.accdb[Fecha],"&gt;"&amp;Produccion_Semanal!$B$4,Tabla_Registro_de_movimientos_app.accdb[Fecha],"&lt;="&amp;Produccion_Semanal!$C$4)</f>
        <v>0</v>
      </c>
      <c r="E20" s="13" t="e">
        <f t="shared" si="5"/>
        <v>#DIV/0!</v>
      </c>
      <c r="F20" s="12"/>
      <c r="G20" s="36">
        <f t="shared" si="3"/>
        <v>0</v>
      </c>
      <c r="H20" s="49" t="e">
        <f t="shared" si="6"/>
        <v>#DIV/0!</v>
      </c>
    </row>
    <row r="21" spans="1:8" x14ac:dyDescent="0.25">
      <c r="A21" s="28" t="s">
        <v>58</v>
      </c>
      <c r="B21" s="23">
        <f>SUM(B13:B20)</f>
        <v>0</v>
      </c>
      <c r="C21" s="24" t="e">
        <f>B21/$B$10</f>
        <v>#DIV/0!</v>
      </c>
      <c r="D21" s="23">
        <f>SUM(D13:D20)</f>
        <v>0</v>
      </c>
      <c r="E21" s="24" t="e">
        <f>D21/$D$10</f>
        <v>#DIV/0!</v>
      </c>
      <c r="F21" s="12"/>
      <c r="G21" s="38">
        <f>SUM(G13:G20)</f>
        <v>0</v>
      </c>
      <c r="H21" s="39" t="e">
        <f>G21/G10</f>
        <v>#DIV/0!</v>
      </c>
    </row>
    <row r="22" spans="1:8" x14ac:dyDescent="0.25">
      <c r="A22" s="11"/>
      <c r="B22" s="12"/>
      <c r="C22" s="13"/>
      <c r="D22" s="12"/>
      <c r="E22" s="13"/>
      <c r="F22" s="12"/>
      <c r="G22" s="12"/>
      <c r="H22" s="40"/>
    </row>
    <row r="23" spans="1:8" x14ac:dyDescent="0.25">
      <c r="A23" s="28" t="s">
        <v>59</v>
      </c>
      <c r="B23" s="23">
        <f>B10-B21</f>
        <v>0</v>
      </c>
      <c r="C23" s="24" t="e">
        <f>B23/B10</f>
        <v>#DIV/0!</v>
      </c>
      <c r="D23" s="23">
        <f>D10-D21</f>
        <v>0</v>
      </c>
      <c r="E23" s="24" t="e">
        <f>D23/D10</f>
        <v>#DIV/0!</v>
      </c>
      <c r="F23" s="12"/>
      <c r="G23" s="38">
        <f>G10-G21</f>
        <v>0</v>
      </c>
      <c r="H23" s="39" t="e">
        <f>G23/G10</f>
        <v>#DIV/0!</v>
      </c>
    </row>
    <row r="24" spans="1:8" x14ac:dyDescent="0.25">
      <c r="A24" s="11"/>
      <c r="B24" s="12"/>
      <c r="C24" s="13"/>
      <c r="D24" s="12"/>
      <c r="E24" s="13"/>
      <c r="F24" s="12"/>
      <c r="G24" s="12"/>
      <c r="H24" s="40"/>
    </row>
    <row r="25" spans="1:8" x14ac:dyDescent="0.25">
      <c r="A25" s="11" t="s">
        <v>39</v>
      </c>
      <c r="B25" s="12"/>
      <c r="C25" s="13"/>
      <c r="D25" s="12"/>
      <c r="E25" s="13"/>
      <c r="F25" s="12"/>
      <c r="G25" s="12"/>
      <c r="H25" s="40"/>
    </row>
    <row r="26" spans="1:8" x14ac:dyDescent="0.25">
      <c r="A26" s="27" t="s">
        <v>30</v>
      </c>
      <c r="B26" s="115">
        <f>SUMIFS(Tabla_Registro_de_movimientos_app.accdb[Importe_Gasto],Tabla_Registro_de_movimientos_app.accdb[Sucursal],Produccion_Semanal!$B$5,Tabla_Registro_de_movimientos_app.accdb[Detalle de movimiento],Produccion_Semanal!A26,Tabla_Registro_de_movimientos_app.accdb[Fecha],"&gt;"&amp;Produccion_Semanal!$B$4,Tabla_Registro_de_movimientos_app.accdb[Fecha],"&lt;="&amp;Produccion_Semanal!$C$4)</f>
        <v>0</v>
      </c>
      <c r="C26" s="21" t="e">
        <f>B26/$B$41</f>
        <v>#DIV/0!</v>
      </c>
      <c r="D26">
        <f>SUMIFS(Tabla_Registro_de_movimientos_app.accdb[Importe_Gasto],Tabla_Registro_de_movimientos_app.accdb[Sucursal],Produccion_Semanal!$D$5,Tabla_Registro_de_movimientos_app.accdb[Detalle de movimiento],Produccion_Semanal!A26,Tabla_Registro_de_movimientos_app.accdb[Fecha],"&gt;"&amp;Produccion_Semanal!$B$4,Tabla_Registro_de_movimientos_app.accdb[Fecha],"&lt;="&amp;Produccion_Semanal!$C$4)</f>
        <v>0</v>
      </c>
      <c r="E26" s="21" t="e">
        <f>D26/$D$41</f>
        <v>#DIV/0!</v>
      </c>
      <c r="F26" s="12"/>
      <c r="G26" s="36">
        <f t="shared" ref="G26:G40" si="7">B26+D26</f>
        <v>0</v>
      </c>
      <c r="H26" s="41" t="e">
        <f>G26/$G$41</f>
        <v>#DIV/0!</v>
      </c>
    </row>
    <row r="27" spans="1:8" x14ac:dyDescent="0.25">
      <c r="A27" s="27" t="s">
        <v>26</v>
      </c>
      <c r="B27" s="115">
        <f>SUMIFS(Tabla_Registro_de_movimientos_app.accdb[Importe_Gasto],Tabla_Registro_de_movimientos_app.accdb[Sucursal],Produccion_Semanal!$B$5,Tabla_Registro_de_movimientos_app.accdb[Detalle de movimiento],Produccion_Semanal!A27,Tabla_Registro_de_movimientos_app.accdb[Fecha],"&gt;"&amp;Produccion_Semanal!$B$4,Tabla_Registro_de_movimientos_app.accdb[Fecha],"&lt;="&amp;Produccion_Semanal!$C$4)</f>
        <v>0</v>
      </c>
      <c r="C27" s="21" t="e">
        <f t="shared" ref="C27:C40" si="8">B27/$B$41</f>
        <v>#DIV/0!</v>
      </c>
      <c r="D27">
        <f>SUMIFS(Tabla_Registro_de_movimientos_app.accdb[Importe_Gasto],Tabla_Registro_de_movimientos_app.accdb[Sucursal],Produccion_Semanal!$D$5,Tabla_Registro_de_movimientos_app.accdb[Detalle de movimiento],Produccion_Semanal!A27,Tabla_Registro_de_movimientos_app.accdb[Fecha],"&gt;"&amp;Produccion_Semanal!$B$4,Tabla_Registro_de_movimientos_app.accdb[Fecha],"&lt;="&amp;Produccion_Semanal!$C$4)</f>
        <v>0</v>
      </c>
      <c r="E27" s="21" t="e">
        <f t="shared" ref="E27:E40" si="9">D27/$D$41</f>
        <v>#DIV/0!</v>
      </c>
      <c r="F27" s="12"/>
      <c r="G27" s="36">
        <f t="shared" si="7"/>
        <v>0</v>
      </c>
      <c r="H27" s="41" t="e">
        <f t="shared" ref="H27:H40" si="10">G27/$G$41</f>
        <v>#DIV/0!</v>
      </c>
    </row>
    <row r="28" spans="1:8" x14ac:dyDescent="0.25">
      <c r="A28" s="27" t="s">
        <v>41</v>
      </c>
      <c r="B28" s="115">
        <f>SUMIFS(Tabla_Registro_de_movimientos_app.accdb[Importe_Gasto],Tabla_Registro_de_movimientos_app.accdb[Sucursal],Produccion_Semanal!$B$5,Tabla_Registro_de_movimientos_app.accdb[Detalle de movimiento],Produccion_Semanal!A28,Tabla_Registro_de_movimientos_app.accdb[Fecha],"&gt;"&amp;Produccion_Semanal!$B$4,Tabla_Registro_de_movimientos_app.accdb[Fecha],"&lt;="&amp;Produccion_Semanal!$C$4)</f>
        <v>0</v>
      </c>
      <c r="C28" s="21" t="e">
        <f t="shared" si="8"/>
        <v>#DIV/0!</v>
      </c>
      <c r="D28">
        <f>SUMIFS(Tabla_Registro_de_movimientos_app.accdb[Importe_Gasto],Tabla_Registro_de_movimientos_app.accdb[Sucursal],Produccion_Semanal!$D$5,Tabla_Registro_de_movimientos_app.accdb[Detalle de movimiento],Produccion_Semanal!A28,Tabla_Registro_de_movimientos_app.accdb[Fecha],"&gt;"&amp;Produccion_Semanal!$B$4,Tabla_Registro_de_movimientos_app.accdb[Fecha],"&lt;="&amp;Produccion_Semanal!$C$4)</f>
        <v>0</v>
      </c>
      <c r="E28" s="21" t="e">
        <f t="shared" si="9"/>
        <v>#DIV/0!</v>
      </c>
      <c r="F28" s="12"/>
      <c r="G28" s="36">
        <f t="shared" si="7"/>
        <v>0</v>
      </c>
      <c r="H28" s="41" t="e">
        <f t="shared" si="10"/>
        <v>#DIV/0!</v>
      </c>
    </row>
    <row r="29" spans="1:8" x14ac:dyDescent="0.25">
      <c r="A29" s="27" t="s">
        <v>42</v>
      </c>
      <c r="B29" s="115">
        <f>SUMIFS(Tabla_Registro_de_movimientos_app.accdb[Importe_Gasto],Tabla_Registro_de_movimientos_app.accdb[Sucursal],Produccion_Semanal!$B$5,Tabla_Registro_de_movimientos_app.accdb[Detalle de movimiento],Produccion_Semanal!A29,Tabla_Registro_de_movimientos_app.accdb[Fecha],"&gt;"&amp;Produccion_Semanal!$B$4,Tabla_Registro_de_movimientos_app.accdb[Fecha],"&lt;="&amp;Produccion_Semanal!$C$4)</f>
        <v>0</v>
      </c>
      <c r="C29" s="21" t="e">
        <f t="shared" si="8"/>
        <v>#DIV/0!</v>
      </c>
      <c r="D29">
        <f>SUMIFS(Tabla_Registro_de_movimientos_app.accdb[Importe_Gasto],Tabla_Registro_de_movimientos_app.accdb[Sucursal],Produccion_Semanal!$D$5,Tabla_Registro_de_movimientos_app.accdb[Detalle de movimiento],Produccion_Semanal!A29,Tabla_Registro_de_movimientos_app.accdb[Fecha],"&gt;"&amp;Produccion_Semanal!$B$4,Tabla_Registro_de_movimientos_app.accdb[Fecha],"&lt;="&amp;Produccion_Semanal!$C$4)</f>
        <v>0</v>
      </c>
      <c r="E29" s="21" t="e">
        <f t="shared" si="9"/>
        <v>#DIV/0!</v>
      </c>
      <c r="F29" s="12"/>
      <c r="G29" s="36">
        <f t="shared" si="7"/>
        <v>0</v>
      </c>
      <c r="H29" s="41" t="e">
        <f t="shared" si="10"/>
        <v>#DIV/0!</v>
      </c>
    </row>
    <row r="30" spans="1:8" x14ac:dyDescent="0.25">
      <c r="A30" s="27" t="s">
        <v>28</v>
      </c>
      <c r="B30" s="115">
        <f>SUMIFS(Tabla_Registro_de_movimientos_app.accdb[Importe_Gasto],Tabla_Registro_de_movimientos_app.accdb[Sucursal],Produccion_Semanal!$B$5,Tabla_Registro_de_movimientos_app.accdb[Detalle de movimiento],Produccion_Semanal!A30,Tabla_Registro_de_movimientos_app.accdb[Fecha],"&gt;"&amp;Produccion_Semanal!$B$4,Tabla_Registro_de_movimientos_app.accdb[Fecha],"&lt;="&amp;Produccion_Semanal!$C$4)</f>
        <v>0</v>
      </c>
      <c r="C30" s="21" t="e">
        <f t="shared" si="8"/>
        <v>#DIV/0!</v>
      </c>
      <c r="D30">
        <f>SUMIFS(Tabla_Registro_de_movimientos_app.accdb[Importe_Gasto],Tabla_Registro_de_movimientos_app.accdb[Sucursal],Produccion_Semanal!$D$5,Tabla_Registro_de_movimientos_app.accdb[Detalle de movimiento],Produccion_Semanal!A30,Tabla_Registro_de_movimientos_app.accdb[Fecha],"&gt;"&amp;Produccion_Semanal!$B$4,Tabla_Registro_de_movimientos_app.accdb[Fecha],"&lt;="&amp;Produccion_Semanal!$C$4)</f>
        <v>0</v>
      </c>
      <c r="E30" s="21" t="e">
        <f t="shared" si="9"/>
        <v>#DIV/0!</v>
      </c>
      <c r="F30" s="12"/>
      <c r="G30" s="36">
        <f t="shared" si="7"/>
        <v>0</v>
      </c>
      <c r="H30" s="41" t="e">
        <f t="shared" si="10"/>
        <v>#DIV/0!</v>
      </c>
    </row>
    <row r="31" spans="1:8" x14ac:dyDescent="0.25">
      <c r="A31" s="27" t="s">
        <v>12</v>
      </c>
      <c r="B31" s="115">
        <f>SUMIFS(Tabla_Registro_de_movimientos_app.accdb[Importe_Gasto],Tabla_Registro_de_movimientos_app.accdb[Sucursal],Produccion_Semanal!$B$5,Tabla_Registro_de_movimientos_app.accdb[Detalle de movimiento],Produccion_Semanal!A31,Tabla_Registro_de_movimientos_app.accdb[Fecha],"&gt;"&amp;Produccion_Semanal!$B$4,Tabla_Registro_de_movimientos_app.accdb[Fecha],"&lt;="&amp;Produccion_Semanal!$C$4)</f>
        <v>0</v>
      </c>
      <c r="C31" s="21" t="e">
        <f t="shared" si="8"/>
        <v>#DIV/0!</v>
      </c>
      <c r="D31">
        <f>SUMIFS(Tabla_Registro_de_movimientos_app.accdb[Importe_Gasto],Tabla_Registro_de_movimientos_app.accdb[Sucursal],Produccion_Semanal!$D$5,Tabla_Registro_de_movimientos_app.accdb[Detalle de movimiento],Produccion_Semanal!A31,Tabla_Registro_de_movimientos_app.accdb[Fecha],"&gt;"&amp;Produccion_Semanal!$B$4,Tabla_Registro_de_movimientos_app.accdb[Fecha],"&lt;="&amp;Produccion_Semanal!$C$4)</f>
        <v>0</v>
      </c>
      <c r="E31" s="21" t="e">
        <f t="shared" si="9"/>
        <v>#DIV/0!</v>
      </c>
      <c r="F31" s="12"/>
      <c r="G31" s="36">
        <f t="shared" si="7"/>
        <v>0</v>
      </c>
      <c r="H31" s="41" t="e">
        <f t="shared" si="10"/>
        <v>#DIV/0!</v>
      </c>
    </row>
    <row r="32" spans="1:8" x14ac:dyDescent="0.25">
      <c r="A32" s="27" t="s">
        <v>52</v>
      </c>
      <c r="B32" s="115">
        <f>SUMIFS(Tabla_Registro_de_movimientos_app.accdb[Importe_Gasto],Tabla_Registro_de_movimientos_app.accdb[Sucursal],Produccion_Semanal!$B$5,Tabla_Registro_de_movimientos_app.accdb[Detalle de movimiento],Produccion_Semanal!A32,Tabla_Registro_de_movimientos_app.accdb[Fecha],"&gt;"&amp;Produccion_Semanal!$B$4,Tabla_Registro_de_movimientos_app.accdb[Fecha],"&lt;="&amp;Produccion_Semanal!$C$4)</f>
        <v>0</v>
      </c>
      <c r="C32" s="21" t="e">
        <f t="shared" si="8"/>
        <v>#DIV/0!</v>
      </c>
      <c r="D32">
        <f>SUMIFS(Tabla_Registro_de_movimientos_app.accdb[Importe_Gasto],Tabla_Registro_de_movimientos_app.accdb[Sucursal],Produccion_Semanal!$D$5,Tabla_Registro_de_movimientos_app.accdb[Detalle de movimiento],Produccion_Semanal!A32,Tabla_Registro_de_movimientos_app.accdb[Fecha],"&gt;"&amp;Produccion_Semanal!$B$4,Tabla_Registro_de_movimientos_app.accdb[Fecha],"&lt;="&amp;Produccion_Semanal!$C$4)</f>
        <v>0</v>
      </c>
      <c r="E32" s="21" t="e">
        <f t="shared" si="9"/>
        <v>#DIV/0!</v>
      </c>
      <c r="F32" s="12"/>
      <c r="G32" s="36">
        <f t="shared" si="7"/>
        <v>0</v>
      </c>
      <c r="H32" s="41" t="e">
        <f t="shared" si="10"/>
        <v>#DIV/0!</v>
      </c>
    </row>
    <row r="33" spans="1:8" x14ac:dyDescent="0.25">
      <c r="A33" s="27" t="s">
        <v>43</v>
      </c>
      <c r="B33" s="115">
        <f>SUMIFS(Tabla_Registro_de_movimientos_app.accdb[Importe_Gasto],Tabla_Registro_de_movimientos_app.accdb[Sucursal],Produccion_Semanal!$B$5,Tabla_Registro_de_movimientos_app.accdb[Detalle de movimiento],Produccion_Semanal!A33,Tabla_Registro_de_movimientos_app.accdb[Fecha],"&gt;"&amp;Produccion_Semanal!$B$4,Tabla_Registro_de_movimientos_app.accdb[Fecha],"&lt;="&amp;Produccion_Semanal!$C$4)</f>
        <v>0</v>
      </c>
      <c r="C33" s="21" t="e">
        <f t="shared" si="8"/>
        <v>#DIV/0!</v>
      </c>
      <c r="D33">
        <f>SUMIFS(Tabla_Registro_de_movimientos_app.accdb[Importe_Gasto],Tabla_Registro_de_movimientos_app.accdb[Sucursal],Produccion_Semanal!$D$5,Tabla_Registro_de_movimientos_app.accdb[Detalle de movimiento],Produccion_Semanal!A33,Tabla_Registro_de_movimientos_app.accdb[Fecha],"&gt;"&amp;Produccion_Semanal!$B$4,Tabla_Registro_de_movimientos_app.accdb[Fecha],"&lt;="&amp;Produccion_Semanal!$C$4)</f>
        <v>0</v>
      </c>
      <c r="E33" s="21" t="e">
        <f t="shared" si="9"/>
        <v>#DIV/0!</v>
      </c>
      <c r="F33" s="12"/>
      <c r="G33" s="36">
        <f t="shared" si="7"/>
        <v>0</v>
      </c>
      <c r="H33" s="41" t="e">
        <f t="shared" si="10"/>
        <v>#DIV/0!</v>
      </c>
    </row>
    <row r="34" spans="1:8" x14ac:dyDescent="0.25">
      <c r="A34" s="27" t="s">
        <v>44</v>
      </c>
      <c r="B34" s="115">
        <f>SUMIFS(Tabla_Registro_de_movimientos_app.accdb[Importe_Gasto],Tabla_Registro_de_movimientos_app.accdb[Sucursal],Produccion_Semanal!$B$5,Tabla_Registro_de_movimientos_app.accdb[Detalle de movimiento],Produccion_Semanal!A34,Tabla_Registro_de_movimientos_app.accdb[Fecha],"&gt;"&amp;Produccion_Semanal!$B$4,Tabla_Registro_de_movimientos_app.accdb[Fecha],"&lt;="&amp;Produccion_Semanal!$C$4)</f>
        <v>0</v>
      </c>
      <c r="C34" s="21" t="e">
        <f t="shared" si="8"/>
        <v>#DIV/0!</v>
      </c>
      <c r="D34">
        <f>SUMIFS(Tabla_Registro_de_movimientos_app.accdb[Importe_Gasto],Tabla_Registro_de_movimientos_app.accdb[Sucursal],Produccion_Semanal!$D$5,Tabla_Registro_de_movimientos_app.accdb[Detalle de movimiento],Produccion_Semanal!A34,Tabla_Registro_de_movimientos_app.accdb[Fecha],"&gt;"&amp;Produccion_Semanal!$B$4,Tabla_Registro_de_movimientos_app.accdb[Fecha],"&lt;="&amp;Produccion_Semanal!$C$4)</f>
        <v>0</v>
      </c>
      <c r="E34" s="21" t="e">
        <f t="shared" si="9"/>
        <v>#DIV/0!</v>
      </c>
      <c r="F34" s="12"/>
      <c r="G34" s="36">
        <f t="shared" si="7"/>
        <v>0</v>
      </c>
      <c r="H34" s="41" t="e">
        <f t="shared" si="10"/>
        <v>#DIV/0!</v>
      </c>
    </row>
    <row r="35" spans="1:8" x14ac:dyDescent="0.25">
      <c r="A35" s="27" t="s">
        <v>45</v>
      </c>
      <c r="B35" s="115">
        <f>SUMIFS(Tabla_Registro_de_movimientos_app.accdb[Importe_Gasto],Tabla_Registro_de_movimientos_app.accdb[Sucursal],Produccion_Semanal!$B$5,Tabla_Registro_de_movimientos_app.accdb[Detalle de movimiento],Produccion_Semanal!A35,Tabla_Registro_de_movimientos_app.accdb[Fecha],"&gt;"&amp;Produccion_Semanal!$B$4,Tabla_Registro_de_movimientos_app.accdb[Fecha],"&lt;="&amp;Produccion_Semanal!$C$4)</f>
        <v>0</v>
      </c>
      <c r="C35" s="21" t="e">
        <f t="shared" si="8"/>
        <v>#DIV/0!</v>
      </c>
      <c r="D35">
        <f>SUMIFS(Tabla_Registro_de_movimientos_app.accdb[Importe_Gasto],Tabla_Registro_de_movimientos_app.accdb[Sucursal],Produccion_Semanal!$D$5,Tabla_Registro_de_movimientos_app.accdb[Detalle de movimiento],Produccion_Semanal!A35,Tabla_Registro_de_movimientos_app.accdb[Fecha],"&gt;"&amp;Produccion_Semanal!$B$4,Tabla_Registro_de_movimientos_app.accdb[Fecha],"&lt;="&amp;Produccion_Semanal!$C$4)</f>
        <v>0</v>
      </c>
      <c r="E35" s="21" t="e">
        <f t="shared" si="9"/>
        <v>#DIV/0!</v>
      </c>
      <c r="F35" s="12"/>
      <c r="G35" s="36">
        <f t="shared" si="7"/>
        <v>0</v>
      </c>
      <c r="H35" s="41" t="e">
        <f t="shared" si="10"/>
        <v>#DIV/0!</v>
      </c>
    </row>
    <row r="36" spans="1:8" x14ac:dyDescent="0.25">
      <c r="A36" s="27" t="s">
        <v>46</v>
      </c>
      <c r="B36" s="115">
        <f>SUMIFS(Tabla_Registro_de_movimientos_app.accdb[Importe_Gasto],Tabla_Registro_de_movimientos_app.accdb[Sucursal],Produccion_Semanal!$B$5,Tabla_Registro_de_movimientos_app.accdb[Detalle de movimiento],Produccion_Semanal!A36,Tabla_Registro_de_movimientos_app.accdb[Fecha],"&gt;"&amp;Produccion_Semanal!$B$4,Tabla_Registro_de_movimientos_app.accdb[Fecha],"&lt;="&amp;Produccion_Semanal!$C$4)</f>
        <v>0</v>
      </c>
      <c r="C36" s="21" t="e">
        <f t="shared" si="8"/>
        <v>#DIV/0!</v>
      </c>
      <c r="D36">
        <f>SUMIFS(Tabla_Registro_de_movimientos_app.accdb[Importe_Gasto],Tabla_Registro_de_movimientos_app.accdb[Sucursal],Produccion_Semanal!$D$5,Tabla_Registro_de_movimientos_app.accdb[Detalle de movimiento],Produccion_Semanal!A36,Tabla_Registro_de_movimientos_app.accdb[Fecha],"&gt;"&amp;Produccion_Semanal!$B$4,Tabla_Registro_de_movimientos_app.accdb[Fecha],"&lt;="&amp;Produccion_Semanal!$C$4)</f>
        <v>0</v>
      </c>
      <c r="E36" s="21" t="e">
        <f t="shared" si="9"/>
        <v>#DIV/0!</v>
      </c>
      <c r="F36" s="12"/>
      <c r="G36" s="36">
        <f t="shared" si="7"/>
        <v>0</v>
      </c>
      <c r="H36" s="41" t="e">
        <f t="shared" si="10"/>
        <v>#DIV/0!</v>
      </c>
    </row>
    <row r="37" spans="1:8" x14ac:dyDescent="0.25">
      <c r="A37" s="27" t="s">
        <v>47</v>
      </c>
      <c r="B37" s="115">
        <f>SUMIFS(Tabla_Registro_de_movimientos_app.accdb[Importe_Gasto],Tabla_Registro_de_movimientos_app.accdb[Sucursal],Produccion_Semanal!$B$5,Tabla_Registro_de_movimientos_app.accdb[Detalle de movimiento],Produccion_Semanal!A37,Tabla_Registro_de_movimientos_app.accdb[Fecha],"&gt;"&amp;Produccion_Semanal!$B$4,Tabla_Registro_de_movimientos_app.accdb[Fecha],"&lt;="&amp;Produccion_Semanal!$C$4)</f>
        <v>0</v>
      </c>
      <c r="C37" s="21" t="e">
        <f t="shared" si="8"/>
        <v>#DIV/0!</v>
      </c>
      <c r="D37">
        <f>SUMIFS(Tabla_Registro_de_movimientos_app.accdb[Importe_Gasto],Tabla_Registro_de_movimientos_app.accdb[Sucursal],Produccion_Semanal!$D$5,Tabla_Registro_de_movimientos_app.accdb[Detalle de movimiento],Produccion_Semanal!A37,Tabla_Registro_de_movimientos_app.accdb[Fecha],"&gt;"&amp;Produccion_Semanal!$B$4,Tabla_Registro_de_movimientos_app.accdb[Fecha],"&lt;="&amp;Produccion_Semanal!$C$4)</f>
        <v>0</v>
      </c>
      <c r="E37" s="21" t="e">
        <f t="shared" si="9"/>
        <v>#DIV/0!</v>
      </c>
      <c r="F37" s="12"/>
      <c r="G37" s="36">
        <f t="shared" si="7"/>
        <v>0</v>
      </c>
      <c r="H37" s="41" t="e">
        <f t="shared" si="10"/>
        <v>#DIV/0!</v>
      </c>
    </row>
    <row r="38" spans="1:8" x14ac:dyDescent="0.25">
      <c r="A38" s="27" t="s">
        <v>48</v>
      </c>
      <c r="B38" s="115">
        <f>SUMIFS(Tabla_Registro_de_movimientos_app.accdb[Importe_Gasto],Tabla_Registro_de_movimientos_app.accdb[Sucursal],Produccion_Semanal!$B$5,Tabla_Registro_de_movimientos_app.accdb[Detalle de movimiento],Produccion_Semanal!A38,Tabla_Registro_de_movimientos_app.accdb[Fecha],"&gt;"&amp;Produccion_Semanal!$B$4,Tabla_Registro_de_movimientos_app.accdb[Fecha],"&lt;="&amp;Produccion_Semanal!$C$4)</f>
        <v>0</v>
      </c>
      <c r="C38" s="21" t="e">
        <f t="shared" si="8"/>
        <v>#DIV/0!</v>
      </c>
      <c r="D38">
        <f>SUMIFS(Tabla_Registro_de_movimientos_app.accdb[Importe_Gasto],Tabla_Registro_de_movimientos_app.accdb[Sucursal],Produccion_Semanal!$D$5,Tabla_Registro_de_movimientos_app.accdb[Detalle de movimiento],Produccion_Semanal!A38,Tabla_Registro_de_movimientos_app.accdb[Fecha],"&gt;"&amp;Produccion_Semanal!$B$4,Tabla_Registro_de_movimientos_app.accdb[Fecha],"&lt;="&amp;Produccion_Semanal!$C$4)</f>
        <v>0</v>
      </c>
      <c r="E38" s="21" t="e">
        <f t="shared" si="9"/>
        <v>#DIV/0!</v>
      </c>
      <c r="F38" s="12"/>
      <c r="G38" s="36">
        <f t="shared" si="7"/>
        <v>0</v>
      </c>
      <c r="H38" s="41" t="e">
        <f t="shared" si="10"/>
        <v>#DIV/0!</v>
      </c>
    </row>
    <row r="39" spans="1:8" x14ac:dyDescent="0.25">
      <c r="A39" s="27" t="s">
        <v>49</v>
      </c>
      <c r="B39" s="115">
        <f>SUMIFS(Tabla_Registro_de_movimientos_app.accdb[Importe_Gasto],Tabla_Registro_de_movimientos_app.accdb[Sucursal],Produccion_Semanal!$B$5,Tabla_Registro_de_movimientos_app.accdb[Detalle de movimiento],Produccion_Semanal!A39,Tabla_Registro_de_movimientos_app.accdb[Fecha],"&gt;"&amp;Produccion_Semanal!$B$4,Tabla_Registro_de_movimientos_app.accdb[Fecha],"&lt;="&amp;Produccion_Semanal!$C$4)</f>
        <v>0</v>
      </c>
      <c r="C39" s="21" t="e">
        <f t="shared" si="8"/>
        <v>#DIV/0!</v>
      </c>
      <c r="D39">
        <f>SUMIFS(Tabla_Registro_de_movimientos_app.accdb[Importe_Gasto],Tabla_Registro_de_movimientos_app.accdb[Sucursal],Produccion_Semanal!$D$5,Tabla_Registro_de_movimientos_app.accdb[Detalle de movimiento],Produccion_Semanal!A39,Tabla_Registro_de_movimientos_app.accdb[Fecha],"&gt;"&amp;Produccion_Semanal!$B$4,Tabla_Registro_de_movimientos_app.accdb[Fecha],"&lt;="&amp;Produccion_Semanal!$C$4)</f>
        <v>0</v>
      </c>
      <c r="E39" s="21" t="e">
        <f t="shared" si="9"/>
        <v>#DIV/0!</v>
      </c>
      <c r="F39" s="12"/>
      <c r="G39" s="36">
        <f t="shared" si="7"/>
        <v>0</v>
      </c>
      <c r="H39" s="41" t="e">
        <f t="shared" si="10"/>
        <v>#DIV/0!</v>
      </c>
    </row>
    <row r="40" spans="1:8" x14ac:dyDescent="0.25">
      <c r="A40" s="27" t="s">
        <v>50</v>
      </c>
      <c r="B40" s="115">
        <f>SUMIFS(Tabla_Registro_de_movimientos_app.accdb[Importe_Gasto],Tabla_Registro_de_movimientos_app.accdb[Sucursal],Produccion_Semanal!$B$5,Tabla_Registro_de_movimientos_app.accdb[Detalle de movimiento],Produccion_Semanal!A40,Tabla_Registro_de_movimientos_app.accdb[Fecha],"&gt;"&amp;Produccion_Semanal!$B$4,Tabla_Registro_de_movimientos_app.accdb[Fecha],"&lt;="&amp;Produccion_Semanal!$C$4)</f>
        <v>0</v>
      </c>
      <c r="C40" s="21" t="e">
        <f t="shared" si="8"/>
        <v>#DIV/0!</v>
      </c>
      <c r="D40">
        <f>SUMIFS(Tabla_Registro_de_movimientos_app.accdb[Importe_Gasto],Tabla_Registro_de_movimientos_app.accdb[Sucursal],Produccion_Semanal!$D$5,Tabla_Registro_de_movimientos_app.accdb[Detalle de movimiento],Produccion_Semanal!A40,Tabla_Registro_de_movimientos_app.accdb[Fecha],"&gt;"&amp;Produccion_Semanal!$B$4,Tabla_Registro_de_movimientos_app.accdb[Fecha],"&lt;="&amp;Produccion_Semanal!$C$4)</f>
        <v>0</v>
      </c>
      <c r="E40" s="21" t="e">
        <f t="shared" si="9"/>
        <v>#DIV/0!</v>
      </c>
      <c r="F40" s="12"/>
      <c r="G40" s="36">
        <f t="shared" si="7"/>
        <v>0</v>
      </c>
      <c r="H40" s="41" t="e">
        <f t="shared" si="10"/>
        <v>#DIV/0!</v>
      </c>
    </row>
    <row r="41" spans="1:8" x14ac:dyDescent="0.25">
      <c r="A41" s="28" t="s">
        <v>51</v>
      </c>
      <c r="B41" s="23">
        <f>SUM(B26:B40)</f>
        <v>0</v>
      </c>
      <c r="C41" s="24" t="e">
        <f>B41/B10</f>
        <v>#DIV/0!</v>
      </c>
      <c r="D41" s="23">
        <f>SUM(D26:D40)</f>
        <v>0</v>
      </c>
      <c r="E41" s="24" t="e">
        <f>D41/D10</f>
        <v>#DIV/0!</v>
      </c>
      <c r="F41" s="12"/>
      <c r="G41" s="38">
        <f>SUM(G26:G40)</f>
        <v>0</v>
      </c>
      <c r="H41" s="39" t="e">
        <f>G41/G10</f>
        <v>#DIV/0!</v>
      </c>
    </row>
    <row r="42" spans="1:8" x14ac:dyDescent="0.25">
      <c r="A42" s="27"/>
      <c r="B42" s="12"/>
      <c r="C42" s="13"/>
      <c r="D42" s="12"/>
      <c r="E42" s="13"/>
      <c r="F42" s="12"/>
      <c r="G42" s="12"/>
    </row>
    <row r="43" spans="1:8" x14ac:dyDescent="0.25">
      <c r="A43" s="11" t="s">
        <v>62</v>
      </c>
      <c r="B43" s="12"/>
      <c r="C43" s="13"/>
      <c r="D43" s="12"/>
      <c r="E43" s="13"/>
      <c r="F43" s="12"/>
      <c r="G43" s="12"/>
    </row>
    <row r="44" spans="1:8" x14ac:dyDescent="0.25">
      <c r="A44" s="27" t="s">
        <v>85</v>
      </c>
      <c r="B44" s="115">
        <f>SUMIFS(Tabla_Registro_de_movimientos_app.accdb[Importe_Gasto],Tabla_Registro_de_movimientos_app.accdb[Sucursal],Produccion_Semanal!$B$5,Tabla_Registro_de_movimientos_app.accdb[Detalle de movimiento],Produccion_Semanal!A44,Tabla_Registro_de_movimientos_app.accdb[Fecha],"&gt;"&amp;Produccion_Semanal!$B$4,Tabla_Registro_de_movimientos_app.accdb[Fecha],"&lt;="&amp;Produccion_Semanal!$C$4)</f>
        <v>0</v>
      </c>
      <c r="C44" s="21" t="e">
        <f>B44/$B$57</f>
        <v>#DIV/0!</v>
      </c>
      <c r="D44">
        <f>SUMIFS(Tabla_Registro_de_movimientos_app.accdb[Importe_Gasto],Tabla_Registro_de_movimientos_app.accdb[Sucursal],Produccion_Semanal!$D$5,Tabla_Registro_de_movimientos_app.accdb[Detalle de movimiento],Produccion_Semanal!A44,Tabla_Registro_de_movimientos_app.accdb[Fecha],"&gt;"&amp;Produccion_Semanal!$B$4,Tabla_Registro_de_movimientos_app.accdb[Fecha],"&lt;="&amp;Produccion_Semanal!$C$4)</f>
        <v>0</v>
      </c>
      <c r="E44" s="21" t="e">
        <f>D44/$D$57</f>
        <v>#DIV/0!</v>
      </c>
      <c r="F44" s="12"/>
      <c r="G44" s="36">
        <f t="shared" ref="G44:G56" si="11">B44+D44</f>
        <v>0</v>
      </c>
      <c r="H44" s="41" t="e">
        <f>G44/$G$57</f>
        <v>#DIV/0!</v>
      </c>
    </row>
    <row r="45" spans="1:8" x14ac:dyDescent="0.25">
      <c r="A45" s="27" t="s">
        <v>63</v>
      </c>
      <c r="B45" s="115">
        <f>SUMIFS(Tabla_Registro_de_movimientos_app.accdb[Importe_Gasto],Tabla_Registro_de_movimientos_app.accdb[Sucursal],Produccion_Semanal!$B$5,Tabla_Registro_de_movimientos_app.accdb[Detalle de movimiento],Produccion_Semanal!A45,Tabla_Registro_de_movimientos_app.accdb[Fecha],"&gt;"&amp;Produccion_Semanal!$B$4,Tabla_Registro_de_movimientos_app.accdb[Fecha],"&lt;="&amp;Produccion_Semanal!$C$4)</f>
        <v>0</v>
      </c>
      <c r="C45" s="21" t="e">
        <f t="shared" ref="C45:C56" si="12">B45/$B$57</f>
        <v>#DIV/0!</v>
      </c>
      <c r="D45">
        <f>SUMIFS(Tabla_Registro_de_movimientos_app.accdb[Importe_Gasto],Tabla_Registro_de_movimientos_app.accdb[Sucursal],Produccion_Semanal!$D$5,Tabla_Registro_de_movimientos_app.accdb[Detalle de movimiento],Produccion_Semanal!A45,Tabla_Registro_de_movimientos_app.accdb[Fecha],"&gt;"&amp;Produccion_Semanal!$B$4,Tabla_Registro_de_movimientos_app.accdb[Fecha],"&lt;="&amp;Produccion_Semanal!$C$4)</f>
        <v>0</v>
      </c>
      <c r="E45" s="21" t="e">
        <f t="shared" ref="E45:E56" si="13">D45/$D$57</f>
        <v>#DIV/0!</v>
      </c>
      <c r="F45" s="12"/>
      <c r="G45" s="36">
        <f t="shared" si="11"/>
        <v>0</v>
      </c>
      <c r="H45" s="41" t="e">
        <f t="shared" ref="H45:H56" si="14">G45/$G$57</f>
        <v>#DIV/0!</v>
      </c>
    </row>
    <row r="46" spans="1:8" x14ac:dyDescent="0.25">
      <c r="A46" s="27" t="s">
        <v>64</v>
      </c>
      <c r="B46" s="115">
        <f>SUMIFS(Tabla_Registro_de_movimientos_app.accdb[Importe_Gasto],Tabla_Registro_de_movimientos_app.accdb[Sucursal],Produccion_Semanal!$B$5,Tabla_Registro_de_movimientos_app.accdb[Detalle de movimiento],Produccion_Semanal!A46,Tabla_Registro_de_movimientos_app.accdb[Fecha],"&gt;"&amp;Produccion_Semanal!$B$4,Tabla_Registro_de_movimientos_app.accdb[Fecha],"&lt;="&amp;Produccion_Semanal!$C$4)</f>
        <v>0</v>
      </c>
      <c r="C46" s="21" t="e">
        <f t="shared" si="12"/>
        <v>#DIV/0!</v>
      </c>
      <c r="D46">
        <f>SUMIFS(Tabla_Registro_de_movimientos_app.accdb[Importe_Gasto],Tabla_Registro_de_movimientos_app.accdb[Sucursal],Produccion_Semanal!$D$5,Tabla_Registro_de_movimientos_app.accdb[Detalle de movimiento],Produccion_Semanal!A46,Tabla_Registro_de_movimientos_app.accdb[Fecha],"&gt;"&amp;Produccion_Semanal!$B$4,Tabla_Registro_de_movimientos_app.accdb[Fecha],"&lt;="&amp;Produccion_Semanal!$C$4)</f>
        <v>0</v>
      </c>
      <c r="E46" s="21" t="e">
        <f t="shared" si="13"/>
        <v>#DIV/0!</v>
      </c>
      <c r="F46" s="12"/>
      <c r="G46" s="36">
        <f t="shared" si="11"/>
        <v>0</v>
      </c>
      <c r="H46" s="41" t="e">
        <f t="shared" si="14"/>
        <v>#DIV/0!</v>
      </c>
    </row>
    <row r="47" spans="1:8" x14ac:dyDescent="0.25">
      <c r="A47" s="27" t="s">
        <v>65</v>
      </c>
      <c r="B47" s="115">
        <f>SUMIFS(Tabla_Registro_de_movimientos_app.accdb[Importe_Gasto],Tabla_Registro_de_movimientos_app.accdb[Sucursal],Produccion_Semanal!$B$5,Tabla_Registro_de_movimientos_app.accdb[Detalle de movimiento],Produccion_Semanal!A47,Tabla_Registro_de_movimientos_app.accdb[Fecha],"&gt;"&amp;Produccion_Semanal!$B$4,Tabla_Registro_de_movimientos_app.accdb[Fecha],"&lt;="&amp;Produccion_Semanal!$C$4)</f>
        <v>0</v>
      </c>
      <c r="C47" s="21" t="e">
        <f t="shared" si="12"/>
        <v>#DIV/0!</v>
      </c>
      <c r="D47">
        <f>SUMIFS(Tabla_Registro_de_movimientos_app.accdb[Importe_Gasto],Tabla_Registro_de_movimientos_app.accdb[Sucursal],Produccion_Semanal!$D$5,Tabla_Registro_de_movimientos_app.accdb[Detalle de movimiento],Produccion_Semanal!A47,Tabla_Registro_de_movimientos_app.accdb[Fecha],"&gt;"&amp;Produccion_Semanal!$B$4,Tabla_Registro_de_movimientos_app.accdb[Fecha],"&lt;="&amp;Produccion_Semanal!$C$4)</f>
        <v>0</v>
      </c>
      <c r="E47" s="21" t="e">
        <f t="shared" si="13"/>
        <v>#DIV/0!</v>
      </c>
      <c r="F47" s="12"/>
      <c r="G47" s="36">
        <f t="shared" si="11"/>
        <v>0</v>
      </c>
      <c r="H47" s="41" t="e">
        <f t="shared" si="14"/>
        <v>#DIV/0!</v>
      </c>
    </row>
    <row r="48" spans="1:8" x14ac:dyDescent="0.25">
      <c r="A48" s="27" t="s">
        <v>66</v>
      </c>
      <c r="B48" s="115">
        <f>SUMIFS(Tabla_Registro_de_movimientos_app.accdb[Importe_Gasto],Tabla_Registro_de_movimientos_app.accdb[Sucursal],Produccion_Semanal!$B$5,Tabla_Registro_de_movimientos_app.accdb[Detalle de movimiento],Produccion_Semanal!A48,Tabla_Registro_de_movimientos_app.accdb[Fecha],"&gt;"&amp;Produccion_Semanal!$B$4,Tabla_Registro_de_movimientos_app.accdb[Fecha],"&lt;="&amp;Produccion_Semanal!$C$4)</f>
        <v>0</v>
      </c>
      <c r="C48" s="21" t="e">
        <f t="shared" si="12"/>
        <v>#DIV/0!</v>
      </c>
      <c r="D48">
        <f>SUMIFS(Tabla_Registro_de_movimientos_app.accdb[Importe_Gasto],Tabla_Registro_de_movimientos_app.accdb[Sucursal],Produccion_Semanal!$D$5,Tabla_Registro_de_movimientos_app.accdb[Detalle de movimiento],Produccion_Semanal!A48,Tabla_Registro_de_movimientos_app.accdb[Fecha],"&gt;"&amp;Produccion_Semanal!$B$4,Tabla_Registro_de_movimientos_app.accdb[Fecha],"&lt;="&amp;Produccion_Semanal!$C$4)</f>
        <v>0</v>
      </c>
      <c r="E48" s="21" t="e">
        <f t="shared" si="13"/>
        <v>#DIV/0!</v>
      </c>
      <c r="F48" s="12"/>
      <c r="G48" s="36">
        <f t="shared" si="11"/>
        <v>0</v>
      </c>
      <c r="H48" s="41" t="e">
        <f t="shared" si="14"/>
        <v>#DIV/0!</v>
      </c>
    </row>
    <row r="49" spans="1:8" x14ac:dyDescent="0.25">
      <c r="A49" s="27" t="s">
        <v>67</v>
      </c>
      <c r="B49" s="115">
        <f>SUMIFS(Tabla_Registro_de_movimientos_app.accdb[Importe_Gasto],Tabla_Registro_de_movimientos_app.accdb[Sucursal],Produccion_Semanal!$B$5,Tabla_Registro_de_movimientos_app.accdb[Detalle de movimiento],Produccion_Semanal!A49,Tabla_Registro_de_movimientos_app.accdb[Fecha],"&gt;"&amp;Produccion_Semanal!$B$4,Tabla_Registro_de_movimientos_app.accdb[Fecha],"&lt;="&amp;Produccion_Semanal!$C$4)</f>
        <v>0</v>
      </c>
      <c r="C49" s="21" t="e">
        <f t="shared" si="12"/>
        <v>#DIV/0!</v>
      </c>
      <c r="D49">
        <f>SUMIFS(Tabla_Registro_de_movimientos_app.accdb[Importe_Gasto],Tabla_Registro_de_movimientos_app.accdb[Sucursal],Produccion_Semanal!$D$5,Tabla_Registro_de_movimientos_app.accdb[Detalle de movimiento],Produccion_Semanal!A49,Tabla_Registro_de_movimientos_app.accdb[Fecha],"&gt;"&amp;Produccion_Semanal!$B$4,Tabla_Registro_de_movimientos_app.accdb[Fecha],"&lt;="&amp;Produccion_Semanal!$C$4)</f>
        <v>0</v>
      </c>
      <c r="E49" s="21" t="e">
        <f t="shared" si="13"/>
        <v>#DIV/0!</v>
      </c>
      <c r="F49" s="12"/>
      <c r="G49" s="36">
        <f t="shared" si="11"/>
        <v>0</v>
      </c>
      <c r="H49" s="41" t="e">
        <f t="shared" si="14"/>
        <v>#DIV/0!</v>
      </c>
    </row>
    <row r="50" spans="1:8" x14ac:dyDescent="0.25">
      <c r="A50" s="27" t="s">
        <v>68</v>
      </c>
      <c r="B50" s="115">
        <f>SUMIFS(Tabla_Registro_de_movimientos_app.accdb[Importe_Gasto],Tabla_Registro_de_movimientos_app.accdb[Sucursal],Produccion_Semanal!$B$5,Tabla_Registro_de_movimientos_app.accdb[Detalle de movimiento],Produccion_Semanal!A50,Tabla_Registro_de_movimientos_app.accdb[Fecha],"&gt;"&amp;Produccion_Semanal!$B$4,Tabla_Registro_de_movimientos_app.accdb[Fecha],"&lt;="&amp;Produccion_Semanal!$C$4)</f>
        <v>0</v>
      </c>
      <c r="C50" s="21" t="e">
        <f t="shared" si="12"/>
        <v>#DIV/0!</v>
      </c>
      <c r="D50">
        <f>SUMIFS(Tabla_Registro_de_movimientos_app.accdb[Importe_Gasto],Tabla_Registro_de_movimientos_app.accdb[Sucursal],Produccion_Semanal!$D$5,Tabla_Registro_de_movimientos_app.accdb[Detalle de movimiento],Produccion_Semanal!A50,Tabla_Registro_de_movimientos_app.accdb[Fecha],"&gt;"&amp;Produccion_Semanal!$B$4,Tabla_Registro_de_movimientos_app.accdb[Fecha],"&lt;="&amp;Produccion_Semanal!$C$4)</f>
        <v>0</v>
      </c>
      <c r="E50" s="21" t="e">
        <f t="shared" si="13"/>
        <v>#DIV/0!</v>
      </c>
      <c r="F50" s="12"/>
      <c r="G50" s="36">
        <f t="shared" si="11"/>
        <v>0</v>
      </c>
      <c r="H50" s="41" t="e">
        <f t="shared" si="14"/>
        <v>#DIV/0!</v>
      </c>
    </row>
    <row r="51" spans="1:8" x14ac:dyDescent="0.25">
      <c r="A51" s="27" t="s">
        <v>69</v>
      </c>
      <c r="B51" s="115">
        <f>SUMIFS(Tabla_Registro_de_movimientos_app.accdb[Importe_Gasto],Tabla_Registro_de_movimientos_app.accdb[Sucursal],Produccion_Semanal!$B$5,Tabla_Registro_de_movimientos_app.accdb[Detalle de movimiento],Produccion_Semanal!A51,Tabla_Registro_de_movimientos_app.accdb[Fecha],"&gt;"&amp;Produccion_Semanal!$B$4,Tabla_Registro_de_movimientos_app.accdb[Fecha],"&lt;="&amp;Produccion_Semanal!$C$4)</f>
        <v>0</v>
      </c>
      <c r="C51" s="21" t="e">
        <f t="shared" si="12"/>
        <v>#DIV/0!</v>
      </c>
      <c r="D51">
        <f>SUMIFS(Tabla_Registro_de_movimientos_app.accdb[Importe_Gasto],Tabla_Registro_de_movimientos_app.accdb[Sucursal],Produccion_Semanal!$D$5,Tabla_Registro_de_movimientos_app.accdb[Detalle de movimiento],Produccion_Semanal!A51,Tabla_Registro_de_movimientos_app.accdb[Fecha],"&gt;"&amp;Produccion_Semanal!$B$4,Tabla_Registro_de_movimientos_app.accdb[Fecha],"&lt;="&amp;Produccion_Semanal!$C$4)</f>
        <v>0</v>
      </c>
      <c r="E51" s="21" t="e">
        <f t="shared" si="13"/>
        <v>#DIV/0!</v>
      </c>
      <c r="F51" s="12"/>
      <c r="G51" s="36">
        <f t="shared" si="11"/>
        <v>0</v>
      </c>
      <c r="H51" s="41" t="e">
        <f t="shared" si="14"/>
        <v>#DIV/0!</v>
      </c>
    </row>
    <row r="52" spans="1:8" x14ac:dyDescent="0.25">
      <c r="A52" s="27" t="s">
        <v>70</v>
      </c>
      <c r="B52" s="115">
        <f>SUMIFS(Tabla_Registro_de_movimientos_app.accdb[Importe_Gasto],Tabla_Registro_de_movimientos_app.accdb[Sucursal],Produccion_Semanal!$B$5,Tabla_Registro_de_movimientos_app.accdb[Detalle de movimiento],Produccion_Semanal!A52,Tabla_Registro_de_movimientos_app.accdb[Fecha],"&gt;"&amp;Produccion_Semanal!$B$4,Tabla_Registro_de_movimientos_app.accdb[Fecha],"&lt;="&amp;Produccion_Semanal!$C$4)</f>
        <v>0</v>
      </c>
      <c r="C52" s="21" t="e">
        <f t="shared" si="12"/>
        <v>#DIV/0!</v>
      </c>
      <c r="D52">
        <f>SUMIFS(Tabla_Registro_de_movimientos_app.accdb[Importe_Gasto],Tabla_Registro_de_movimientos_app.accdb[Sucursal],Produccion_Semanal!$D$5,Tabla_Registro_de_movimientos_app.accdb[Detalle de movimiento],Produccion_Semanal!A52,Tabla_Registro_de_movimientos_app.accdb[Fecha],"&gt;"&amp;Produccion_Semanal!$B$4,Tabla_Registro_de_movimientos_app.accdb[Fecha],"&lt;="&amp;Produccion_Semanal!$C$4)</f>
        <v>0</v>
      </c>
      <c r="E52" s="21" t="e">
        <f t="shared" si="13"/>
        <v>#DIV/0!</v>
      </c>
      <c r="F52" s="12"/>
      <c r="G52" s="36">
        <f t="shared" si="11"/>
        <v>0</v>
      </c>
      <c r="H52" s="41" t="e">
        <f t="shared" si="14"/>
        <v>#DIV/0!</v>
      </c>
    </row>
    <row r="53" spans="1:8" x14ac:dyDescent="0.25">
      <c r="A53" s="27" t="s">
        <v>71</v>
      </c>
      <c r="B53" s="115">
        <f>SUMIFS(Tabla_Registro_de_movimientos_app.accdb[Importe_Gasto],Tabla_Registro_de_movimientos_app.accdb[Sucursal],Produccion_Semanal!$B$5,Tabla_Registro_de_movimientos_app.accdb[Detalle de movimiento],Produccion_Semanal!A53,Tabla_Registro_de_movimientos_app.accdb[Fecha],"&gt;"&amp;Produccion_Semanal!$B$4,Tabla_Registro_de_movimientos_app.accdb[Fecha],"&lt;="&amp;Produccion_Semanal!$C$4)</f>
        <v>0</v>
      </c>
      <c r="C53" s="21" t="e">
        <f t="shared" si="12"/>
        <v>#DIV/0!</v>
      </c>
      <c r="D53">
        <f>SUMIFS(Tabla_Registro_de_movimientos_app.accdb[Importe_Gasto],Tabla_Registro_de_movimientos_app.accdb[Sucursal],Produccion_Semanal!$D$5,Tabla_Registro_de_movimientos_app.accdb[Detalle de movimiento],Produccion_Semanal!A53,Tabla_Registro_de_movimientos_app.accdb[Fecha],"&gt;"&amp;Produccion_Semanal!$B$4,Tabla_Registro_de_movimientos_app.accdb[Fecha],"&lt;="&amp;Produccion_Semanal!$C$4)</f>
        <v>0</v>
      </c>
      <c r="E53" s="21" t="e">
        <f t="shared" si="13"/>
        <v>#DIV/0!</v>
      </c>
      <c r="F53" s="12"/>
      <c r="G53" s="36">
        <f t="shared" si="11"/>
        <v>0</v>
      </c>
      <c r="H53" s="41" t="e">
        <f t="shared" si="14"/>
        <v>#DIV/0!</v>
      </c>
    </row>
    <row r="54" spans="1:8" x14ac:dyDescent="0.25">
      <c r="A54" s="27" t="s">
        <v>72</v>
      </c>
      <c r="B54" s="115">
        <f>SUMIFS(Tabla_Registro_de_movimientos_app.accdb[Importe_Gasto],Tabla_Registro_de_movimientos_app.accdb[Sucursal],Produccion_Semanal!$B$5,Tabla_Registro_de_movimientos_app.accdb[Detalle de movimiento],Produccion_Semanal!A54,Tabla_Registro_de_movimientos_app.accdb[Fecha],"&gt;"&amp;Produccion_Semanal!$B$4,Tabla_Registro_de_movimientos_app.accdb[Fecha],"&lt;="&amp;Produccion_Semanal!$C$4)</f>
        <v>0</v>
      </c>
      <c r="C54" s="21" t="e">
        <f t="shared" si="12"/>
        <v>#DIV/0!</v>
      </c>
      <c r="D54">
        <f>SUMIFS(Tabla_Registro_de_movimientos_app.accdb[Importe_Gasto],Tabla_Registro_de_movimientos_app.accdb[Sucursal],Produccion_Semanal!$D$5,Tabla_Registro_de_movimientos_app.accdb[Detalle de movimiento],Produccion_Semanal!A54,Tabla_Registro_de_movimientos_app.accdb[Fecha],"&gt;"&amp;Produccion_Semanal!$B$4,Tabla_Registro_de_movimientos_app.accdb[Fecha],"&lt;="&amp;Produccion_Semanal!$C$4)</f>
        <v>0</v>
      </c>
      <c r="E54" s="21" t="e">
        <f t="shared" si="13"/>
        <v>#DIV/0!</v>
      </c>
      <c r="F54" s="12"/>
      <c r="G54" s="36">
        <f t="shared" si="11"/>
        <v>0</v>
      </c>
      <c r="H54" s="41" t="e">
        <f t="shared" si="14"/>
        <v>#DIV/0!</v>
      </c>
    </row>
    <row r="55" spans="1:8" x14ac:dyDescent="0.25">
      <c r="A55" s="27" t="s">
        <v>73</v>
      </c>
      <c r="B55" s="115">
        <f>SUMIFS(Tabla_Registro_de_movimientos_app.accdb[Importe_Gasto],Tabla_Registro_de_movimientos_app.accdb[Sucursal],Produccion_Semanal!$B$5,Tabla_Registro_de_movimientos_app.accdb[Detalle de movimiento],Produccion_Semanal!A55,Tabla_Registro_de_movimientos_app.accdb[Fecha],"&gt;"&amp;Produccion_Semanal!$B$4,Tabla_Registro_de_movimientos_app.accdb[Fecha],"&lt;="&amp;Produccion_Semanal!$C$4)</f>
        <v>0</v>
      </c>
      <c r="C55" s="21" t="e">
        <f t="shared" si="12"/>
        <v>#DIV/0!</v>
      </c>
      <c r="D55">
        <f>SUMIFS(Tabla_Registro_de_movimientos_app.accdb[Importe_Gasto],Tabla_Registro_de_movimientos_app.accdb[Sucursal],Produccion_Semanal!$D$5,Tabla_Registro_de_movimientos_app.accdb[Detalle de movimiento],Produccion_Semanal!A55,Tabla_Registro_de_movimientos_app.accdb[Fecha],"&gt;"&amp;Produccion_Semanal!$B$4,Tabla_Registro_de_movimientos_app.accdb[Fecha],"&lt;="&amp;Produccion_Semanal!$C$4)</f>
        <v>0</v>
      </c>
      <c r="E55" s="21" t="e">
        <f t="shared" si="13"/>
        <v>#DIV/0!</v>
      </c>
      <c r="F55" s="12"/>
      <c r="G55" s="36">
        <f t="shared" si="11"/>
        <v>0</v>
      </c>
      <c r="H55" s="41" t="e">
        <f t="shared" si="14"/>
        <v>#DIV/0!</v>
      </c>
    </row>
    <row r="56" spans="1:8" x14ac:dyDescent="0.25">
      <c r="A56" s="27" t="s">
        <v>74</v>
      </c>
      <c r="B56" s="115">
        <f>SUMIFS(Tabla_Registro_de_movimientos_app.accdb[Importe_Gasto],Tabla_Registro_de_movimientos_app.accdb[Sucursal],Produccion_Semanal!$B$5,Tabla_Registro_de_movimientos_app.accdb[Detalle de movimiento],Produccion_Semanal!A56,Tabla_Registro_de_movimientos_app.accdb[Fecha],"&gt;"&amp;Produccion_Semanal!$B$4,Tabla_Registro_de_movimientos_app.accdb[Fecha],"&lt;="&amp;Produccion_Semanal!$C$4)</f>
        <v>0</v>
      </c>
      <c r="C56" s="21" t="e">
        <f t="shared" si="12"/>
        <v>#DIV/0!</v>
      </c>
      <c r="D56">
        <f>SUMIFS(Tabla_Registro_de_movimientos_app.accdb[Importe_Gasto],Tabla_Registro_de_movimientos_app.accdb[Sucursal],Produccion_Semanal!$D$5,Tabla_Registro_de_movimientos_app.accdb[Detalle de movimiento],Produccion_Semanal!A56,Tabla_Registro_de_movimientos_app.accdb[Fecha],"&gt;"&amp;Produccion_Semanal!$B$4,Tabla_Registro_de_movimientos_app.accdb[Fecha],"&lt;="&amp;Produccion_Semanal!$C$4)</f>
        <v>0</v>
      </c>
      <c r="E56" s="21" t="e">
        <f t="shared" si="13"/>
        <v>#DIV/0!</v>
      </c>
      <c r="F56" s="12"/>
      <c r="G56" s="36">
        <f t="shared" si="11"/>
        <v>0</v>
      </c>
      <c r="H56" s="41" t="e">
        <f t="shared" si="14"/>
        <v>#DIV/0!</v>
      </c>
    </row>
    <row r="57" spans="1:8" x14ac:dyDescent="0.25">
      <c r="A57" s="28" t="s">
        <v>75</v>
      </c>
      <c r="B57" s="23">
        <f>SUM(B44:B56)</f>
        <v>0</v>
      </c>
      <c r="C57" s="24" t="e">
        <f>B57/B10</f>
        <v>#DIV/0!</v>
      </c>
      <c r="D57" s="23">
        <f>SUM(D44:D56)</f>
        <v>0</v>
      </c>
      <c r="E57" s="24" t="e">
        <f>D57/D10</f>
        <v>#DIV/0!</v>
      </c>
      <c r="F57" s="12"/>
      <c r="G57" s="38">
        <f>SUM(G44:G56)</f>
        <v>0</v>
      </c>
      <c r="H57" s="39" t="e">
        <f>G57/G10</f>
        <v>#DIV/0!</v>
      </c>
    </row>
    <row r="58" spans="1:8" x14ac:dyDescent="0.25">
      <c r="A58" s="11"/>
      <c r="B58" s="17"/>
      <c r="C58" s="13"/>
      <c r="D58" s="17"/>
      <c r="E58" s="13"/>
      <c r="F58" s="12"/>
      <c r="G58" s="12"/>
    </row>
    <row r="59" spans="1:8" x14ac:dyDescent="0.25">
      <c r="A59" s="11"/>
      <c r="B59" s="17"/>
      <c r="C59" s="13"/>
      <c r="D59" s="17"/>
      <c r="E59" s="13"/>
      <c r="F59" s="12"/>
      <c r="G59" s="12"/>
    </row>
    <row r="60" spans="1:8" x14ac:dyDescent="0.25">
      <c r="A60" s="42" t="s">
        <v>95</v>
      </c>
      <c r="B60" s="43">
        <f>B23-B41-B57</f>
        <v>0</v>
      </c>
      <c r="C60" s="30">
        <v>6.6699999999999995E-2</v>
      </c>
      <c r="D60" s="43">
        <f>D23-D41-D57</f>
        <v>0</v>
      </c>
      <c r="E60" s="44">
        <v>-0.86419999999999997</v>
      </c>
      <c r="F60" s="45"/>
      <c r="G60" s="43">
        <f>B60+D60</f>
        <v>0</v>
      </c>
      <c r="H60" s="30" t="e">
        <f>G60/G10</f>
        <v>#DIV/0!</v>
      </c>
    </row>
    <row r="61" spans="1:8" x14ac:dyDescent="0.25">
      <c r="A61" s="12"/>
      <c r="B61" s="12"/>
      <c r="C61" s="13"/>
      <c r="D61" s="12"/>
      <c r="E61" s="13"/>
      <c r="F61" s="12"/>
      <c r="G61" s="12"/>
    </row>
    <row r="62" spans="1:8" x14ac:dyDescent="0.25">
      <c r="A62" s="11" t="s">
        <v>96</v>
      </c>
      <c r="B62" s="12"/>
      <c r="C62" s="13"/>
      <c r="D62" s="46"/>
      <c r="E62" s="46"/>
      <c r="F62" s="46"/>
      <c r="G62" s="46"/>
    </row>
    <row r="63" spans="1:8" x14ac:dyDescent="0.25">
      <c r="A63" s="27" t="s">
        <v>77</v>
      </c>
      <c r="B63" s="20" t="e">
        <f>Matriz!C51*Produccion_Semanal!C10</f>
        <v>#DIV/0!</v>
      </c>
      <c r="C63" s="21"/>
      <c r="D63" s="20" t="e">
        <f>Matriz!C51*Produccion_Semanal!E10</f>
        <v>#DIV/0!</v>
      </c>
      <c r="E63" s="21"/>
      <c r="F63" s="46"/>
      <c r="G63" s="36" t="e">
        <f t="shared" ref="G63:G64" si="15">B63+D63</f>
        <v>#DIV/0!</v>
      </c>
      <c r="H63" s="41" t="e">
        <f>G63/$G$65</f>
        <v>#DIV/0!</v>
      </c>
    </row>
    <row r="64" spans="1:8" x14ac:dyDescent="0.25">
      <c r="A64" s="27" t="s">
        <v>78</v>
      </c>
      <c r="B64" s="12"/>
      <c r="C64" s="21"/>
      <c r="D64" s="12"/>
      <c r="E64" s="21"/>
      <c r="F64" s="46"/>
      <c r="G64" s="36">
        <f t="shared" si="15"/>
        <v>0</v>
      </c>
      <c r="H64" s="41" t="e">
        <f>G64/$G$65</f>
        <v>#DIV/0!</v>
      </c>
    </row>
    <row r="65" spans="1:11" x14ac:dyDescent="0.25">
      <c r="A65" s="28" t="s">
        <v>79</v>
      </c>
      <c r="B65" s="23" t="e">
        <f>SUM(B63:B64)</f>
        <v>#DIV/0!</v>
      </c>
      <c r="C65" s="24">
        <v>5.8000000000000003E-2</v>
      </c>
      <c r="D65" s="34" t="e">
        <f>SUM(D63:D64)</f>
        <v>#DIV/0!</v>
      </c>
      <c r="E65" s="24">
        <v>5.8000000000000003E-2</v>
      </c>
      <c r="F65" s="46"/>
      <c r="G65" s="38" t="e">
        <f>SUM(G63:G64)</f>
        <v>#DIV/0!</v>
      </c>
      <c r="H65" s="39" t="e">
        <f>G65/G10</f>
        <v>#DIV/0!</v>
      </c>
    </row>
    <row r="66" spans="1:11" x14ac:dyDescent="0.25">
      <c r="A66" s="12"/>
      <c r="B66" s="12"/>
      <c r="C66" s="13"/>
      <c r="D66" s="12"/>
      <c r="E66" s="13"/>
      <c r="F66" s="46"/>
      <c r="G66" s="46"/>
    </row>
    <row r="67" spans="1:11" x14ac:dyDescent="0.25">
      <c r="A67" s="31" t="s">
        <v>80</v>
      </c>
      <c r="B67" s="32" t="e">
        <f>B60-B65</f>
        <v>#DIV/0!</v>
      </c>
      <c r="C67" s="33" t="e">
        <f>B67/B10</f>
        <v>#DIV/0!</v>
      </c>
      <c r="D67" s="32" t="e">
        <f>D60-D65</f>
        <v>#DIV/0!</v>
      </c>
      <c r="E67" s="47" t="e">
        <f>D67/D10</f>
        <v>#DIV/0!</v>
      </c>
      <c r="F67" s="46"/>
      <c r="G67" s="32" t="e">
        <f>B67+D67</f>
        <v>#DIV/0!</v>
      </c>
      <c r="H67" s="30" t="e">
        <f>G67/G10</f>
        <v>#DIV/0!</v>
      </c>
      <c r="K67" s="50"/>
    </row>
    <row r="68" spans="1:11" x14ac:dyDescent="0.25">
      <c r="A68" s="12"/>
      <c r="B68" s="12"/>
      <c r="C68" s="13"/>
      <c r="D68" s="12"/>
      <c r="E68" s="13"/>
      <c r="F68" s="221"/>
      <c r="G68" s="221"/>
      <c r="H68" s="46"/>
    </row>
    <row r="69" spans="1:11" x14ac:dyDescent="0.25">
      <c r="A69" s="15" t="s">
        <v>81</v>
      </c>
      <c r="B69" s="12"/>
      <c r="C69" s="13"/>
      <c r="D69" s="12"/>
      <c r="E69" s="13"/>
      <c r="F69" s="222"/>
      <c r="G69" s="222"/>
      <c r="H69" s="13"/>
    </row>
    <row r="70" spans="1:11" x14ac:dyDescent="0.25">
      <c r="A70" s="12"/>
      <c r="B70" s="12">
        <v>0</v>
      </c>
      <c r="C70" s="13"/>
      <c r="D70" s="12">
        <v>0</v>
      </c>
      <c r="E70" s="13"/>
      <c r="F70" s="12"/>
      <c r="G70" s="36">
        <f t="shared" ref="G70:G76" si="16">B70+D70</f>
        <v>0</v>
      </c>
      <c r="H70" s="13"/>
    </row>
    <row r="71" spans="1:11" x14ac:dyDescent="0.25">
      <c r="A71" s="12"/>
      <c r="B71" s="12">
        <v>0</v>
      </c>
      <c r="C71" s="13"/>
      <c r="D71" s="12">
        <v>0</v>
      </c>
      <c r="E71" s="13"/>
      <c r="F71" s="12"/>
      <c r="G71" s="36">
        <f t="shared" si="16"/>
        <v>0</v>
      </c>
      <c r="H71" s="13"/>
    </row>
    <row r="72" spans="1:11" x14ac:dyDescent="0.25">
      <c r="A72" s="12"/>
      <c r="B72" s="12">
        <v>0</v>
      </c>
      <c r="C72" s="13"/>
      <c r="D72" s="12">
        <v>0</v>
      </c>
      <c r="E72" s="13"/>
      <c r="F72" s="12"/>
      <c r="G72" s="36">
        <f t="shared" si="16"/>
        <v>0</v>
      </c>
      <c r="H72" s="13"/>
    </row>
    <row r="73" spans="1:11" x14ac:dyDescent="0.25">
      <c r="A73" s="27"/>
      <c r="B73" s="12">
        <v>0</v>
      </c>
      <c r="C73" s="13"/>
      <c r="D73" s="12">
        <v>0</v>
      </c>
      <c r="E73" s="13"/>
      <c r="F73" s="12"/>
      <c r="G73" s="36">
        <f t="shared" si="16"/>
        <v>0</v>
      </c>
      <c r="H73" s="13"/>
    </row>
    <row r="74" spans="1:11" x14ac:dyDescent="0.25">
      <c r="A74" s="27"/>
      <c r="B74" s="12">
        <v>0</v>
      </c>
      <c r="C74" s="13"/>
      <c r="D74" s="12">
        <v>0</v>
      </c>
      <c r="E74" s="13"/>
      <c r="F74" s="12"/>
      <c r="G74" s="36">
        <f t="shared" si="16"/>
        <v>0</v>
      </c>
      <c r="H74" s="13"/>
    </row>
    <row r="75" spans="1:11" x14ac:dyDescent="0.25">
      <c r="A75" s="27"/>
      <c r="B75" s="12">
        <v>0</v>
      </c>
      <c r="C75" s="13"/>
      <c r="D75" s="12">
        <v>0</v>
      </c>
      <c r="E75" s="13"/>
      <c r="F75" s="12"/>
      <c r="G75" s="36">
        <f t="shared" si="16"/>
        <v>0</v>
      </c>
      <c r="H75" s="13"/>
    </row>
    <row r="76" spans="1:11" x14ac:dyDescent="0.25">
      <c r="A76" s="27"/>
      <c r="B76" s="12">
        <v>0</v>
      </c>
      <c r="C76" s="13"/>
      <c r="D76" s="12">
        <v>0</v>
      </c>
      <c r="E76" s="13"/>
      <c r="F76" s="12"/>
      <c r="G76" s="36">
        <f t="shared" si="16"/>
        <v>0</v>
      </c>
      <c r="H76" s="13"/>
    </row>
    <row r="77" spans="1:11" x14ac:dyDescent="0.25">
      <c r="A77" s="34" t="s">
        <v>82</v>
      </c>
      <c r="B77" s="34">
        <f>SUM(B70:B76)</f>
        <v>0</v>
      </c>
      <c r="C77" s="18"/>
      <c r="D77" s="34">
        <f>SUM(D70:D76)</f>
        <v>0</v>
      </c>
      <c r="E77" s="13"/>
      <c r="F77" s="12"/>
      <c r="G77" s="23">
        <f>SUM(G70:G76)</f>
        <v>0</v>
      </c>
      <c r="H77" s="13"/>
    </row>
  </sheetData>
  <mergeCells count="5">
    <mergeCell ref="G4:H5"/>
    <mergeCell ref="B5:C5"/>
    <mergeCell ref="D5:E5"/>
    <mergeCell ref="F68:G68"/>
    <mergeCell ref="F69:G6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F63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</cols>
  <sheetData>
    <row r="1" spans="1:3" x14ac:dyDescent="0.25">
      <c r="A1" s="11" t="s">
        <v>31</v>
      </c>
      <c r="B1" s="12"/>
      <c r="C1" s="13"/>
    </row>
    <row r="2" spans="1:3" x14ac:dyDescent="0.25">
      <c r="A2" s="11" t="s">
        <v>32</v>
      </c>
      <c r="B2" s="12"/>
      <c r="C2" s="13"/>
    </row>
    <row r="3" spans="1:3" x14ac:dyDescent="0.25">
      <c r="A3" s="14" t="s">
        <v>100</v>
      </c>
      <c r="B3" s="12"/>
      <c r="C3" s="13"/>
    </row>
    <row r="4" spans="1:3" x14ac:dyDescent="0.25">
      <c r="A4" s="12"/>
      <c r="B4" s="183">
        <v>45049</v>
      </c>
      <c r="C4" s="183">
        <v>45077</v>
      </c>
    </row>
    <row r="5" spans="1:3" x14ac:dyDescent="0.25">
      <c r="A5" s="12"/>
      <c r="B5" s="224" t="s">
        <v>108</v>
      </c>
      <c r="C5" s="224"/>
    </row>
    <row r="6" spans="1:3" x14ac:dyDescent="0.25">
      <c r="A6" s="51" t="s">
        <v>101</v>
      </c>
      <c r="B6" s="16" t="s">
        <v>36</v>
      </c>
      <c r="C6" s="16" t="s">
        <v>37</v>
      </c>
    </row>
    <row r="7" spans="1:3" x14ac:dyDescent="0.25">
      <c r="A7" s="27" t="s">
        <v>109</v>
      </c>
      <c r="B7" s="169">
        <f>SUMIFS(Tabla_Registro_de_movimientos_app.accdb[Importe_Ingreso],Tabla_Registro_de_movimientos_app.accdb[Sucursal],Franquicias!$B$5,Tabla_Registro_de_movimientos_app.accdb[Detalle de movimiento],Franquicias!A7,Tabla_Registro_de_movimientos_app.accdb[Fecha],"&gt;"&amp;Franquicias!$B$4,Tabla_Registro_de_movimientos_app.accdb[Fecha],"&lt;="&amp;Franquicias!$C$4)</f>
        <v>0</v>
      </c>
      <c r="C7" s="52" t="e">
        <f>B7/$B$9</f>
        <v>#DIV/0!</v>
      </c>
    </row>
    <row r="8" spans="1:3" x14ac:dyDescent="0.25">
      <c r="A8" s="27" t="s">
        <v>102</v>
      </c>
      <c r="B8" s="169">
        <f>SUMIFS(Tabla_Registro_de_movimientos_app.accdb[Importe_Ingreso],Tabla_Registro_de_movimientos_app.accdb[Sucursal],Franquicias!$B$5,Tabla_Registro_de_movimientos_app.accdb[Detalle de movimiento],Franquicias!A8,Tabla_Registro_de_movimientos_app.accdb[Fecha],"&gt;"&amp;Franquicias!$B$4,Tabla_Registro_de_movimientos_app.accdb[Fecha],"&lt;="&amp;Franquicias!$C$4)</f>
        <v>0</v>
      </c>
      <c r="C8" s="52" t="e">
        <f>B8/$B$9</f>
        <v>#DIV/0!</v>
      </c>
    </row>
    <row r="9" spans="1:3" x14ac:dyDescent="0.25">
      <c r="A9" s="28" t="s">
        <v>103</v>
      </c>
      <c r="B9" s="172">
        <f>SUM(B7:B8)</f>
        <v>0</v>
      </c>
      <c r="C9" s="53" t="e">
        <f>SUM(C7:C8)</f>
        <v>#DIV/0!</v>
      </c>
    </row>
    <row r="10" spans="1:3" x14ac:dyDescent="0.25">
      <c r="A10" s="11"/>
      <c r="B10" s="169"/>
      <c r="C10" s="13"/>
    </row>
    <row r="11" spans="1:3" x14ac:dyDescent="0.25">
      <c r="A11" s="11" t="s">
        <v>104</v>
      </c>
      <c r="B11" s="169"/>
      <c r="C11" s="13"/>
    </row>
    <row r="12" spans="1:3" x14ac:dyDescent="0.25">
      <c r="A12" s="27" t="s">
        <v>105</v>
      </c>
      <c r="B12" s="169">
        <f>SUMIFS(Tabla_Registro_de_movimientos_app.accdb[Importe_Gasto],Tabla_Registro_de_movimientos_app.accdb[Sucursal],Franquicias!$B$5,Tabla_Registro_de_movimientos_app.accdb[Detalle de movimiento],Franquicias!A12,Tabla_Registro_de_movimientos_app.accdb[Fecha],"&gt;"&amp;Franquicias!$B$4,Tabla_Registro_de_movimientos_app.accdb[Fecha],"&lt;="&amp;Franquicias!$C$4)</f>
        <v>0</v>
      </c>
      <c r="C12" s="21" t="e">
        <f>B12/$B$28</f>
        <v>#DIV/0!</v>
      </c>
    </row>
    <row r="13" spans="1:3" x14ac:dyDescent="0.25">
      <c r="A13" s="27" t="s">
        <v>26</v>
      </c>
      <c r="B13" s="169">
        <f>SUMIFS(Tabla_Registro_de_movimientos_app.accdb[Importe_Gasto],Tabla_Registro_de_movimientos_app.accdb[Sucursal],Franquicias!$B$5,Tabla_Registro_de_movimientos_app.accdb[Detalle de movimiento],Franquicias!A13,Tabla_Registro_de_movimientos_app.accdb[Fecha],"&gt;"&amp;Franquicias!$B$4,Tabla_Registro_de_movimientos_app.accdb[Fecha],"&lt;="&amp;Franquicias!$C$4)</f>
        <v>0</v>
      </c>
      <c r="C13" s="21" t="e">
        <f t="shared" ref="C13:C27" si="0">B13/$B$28</f>
        <v>#DIV/0!</v>
      </c>
    </row>
    <row r="14" spans="1:3" x14ac:dyDescent="0.25">
      <c r="A14" s="27" t="s">
        <v>41</v>
      </c>
      <c r="B14" s="169">
        <f>SUMIFS(Tabla_Registro_de_movimientos_app.accdb[Importe_Gasto],Tabla_Registro_de_movimientos_app.accdb[Sucursal],Franquicias!$B$5,Tabla_Registro_de_movimientos_app.accdb[Detalle de movimiento],Franquicias!A14,Tabla_Registro_de_movimientos_app.accdb[Fecha],"&gt;"&amp;Franquicias!$B$4,Tabla_Registro_de_movimientos_app.accdb[Fecha],"&lt;="&amp;Franquicias!$C$4)</f>
        <v>0</v>
      </c>
      <c r="C14" s="21" t="e">
        <f t="shared" si="0"/>
        <v>#DIV/0!</v>
      </c>
    </row>
    <row r="15" spans="1:3" x14ac:dyDescent="0.25">
      <c r="A15" s="27" t="s">
        <v>42</v>
      </c>
      <c r="B15" s="169">
        <f>SUMIFS(Tabla_Registro_de_movimientos_app.accdb[Importe_Gasto],Tabla_Registro_de_movimientos_app.accdb[Sucursal],Franquicias!$B$5,Tabla_Registro_de_movimientos_app.accdb[Detalle de movimiento],Franquicias!A15,Tabla_Registro_de_movimientos_app.accdb[Fecha],"&gt;"&amp;Franquicias!$B$4,Tabla_Registro_de_movimientos_app.accdb[Fecha],"&lt;="&amp;Franquicias!$C$4)</f>
        <v>0</v>
      </c>
      <c r="C15" s="21" t="e">
        <f t="shared" si="0"/>
        <v>#DIV/0!</v>
      </c>
    </row>
    <row r="16" spans="1:3" x14ac:dyDescent="0.25">
      <c r="A16" s="27" t="s">
        <v>28</v>
      </c>
      <c r="B16" s="169">
        <f>SUMIFS(Tabla_Registro_de_movimientos_app.accdb[Importe_Gasto],Tabla_Registro_de_movimientos_app.accdb[Sucursal],Franquicias!$B$5,Tabla_Registro_de_movimientos_app.accdb[Detalle de movimiento],Franquicias!A16,Tabla_Registro_de_movimientos_app.accdb[Fecha],"&gt;"&amp;Franquicias!$B$4,Tabla_Registro_de_movimientos_app.accdb[Fecha],"&lt;="&amp;Franquicias!$C$4)</f>
        <v>0</v>
      </c>
      <c r="C16" s="21" t="e">
        <f t="shared" si="0"/>
        <v>#DIV/0!</v>
      </c>
    </row>
    <row r="17" spans="1:6" x14ac:dyDescent="0.25">
      <c r="A17" s="27" t="s">
        <v>12</v>
      </c>
      <c r="B17" s="169">
        <f>SUMIFS(Tabla_Registro_de_movimientos_app.accdb[Importe_Gasto],Tabla_Registro_de_movimientos_app.accdb[Sucursal],Franquicias!$B$5,Tabla_Registro_de_movimientos_app.accdb[Detalle de movimiento],Franquicias!A17,Tabla_Registro_de_movimientos_app.accdb[Fecha],"&gt;"&amp;Franquicias!$B$4,Tabla_Registro_de_movimientos_app.accdb[Fecha],"&lt;="&amp;Franquicias!$C$4)</f>
        <v>0</v>
      </c>
      <c r="C17" s="21" t="e">
        <f t="shared" si="0"/>
        <v>#DIV/0!</v>
      </c>
    </row>
    <row r="18" spans="1:6" x14ac:dyDescent="0.25">
      <c r="A18" s="27" t="s">
        <v>52</v>
      </c>
      <c r="B18" s="169">
        <f>SUMIFS(Tabla_Registro_de_movimientos_app.accdb[Importe_Gasto],Tabla_Registro_de_movimientos_app.accdb[Sucursal],Franquicias!$B$5,Tabla_Registro_de_movimientos_app.accdb[Detalle de movimiento],Franquicias!A18,Tabla_Registro_de_movimientos_app.accdb[Fecha],"&gt;"&amp;Franquicias!$B$4,Tabla_Registro_de_movimientos_app.accdb[Fecha],"&lt;="&amp;Franquicias!$C$4)</f>
        <v>0</v>
      </c>
      <c r="C18" s="21" t="e">
        <f t="shared" si="0"/>
        <v>#DIV/0!</v>
      </c>
    </row>
    <row r="19" spans="1:6" x14ac:dyDescent="0.25">
      <c r="A19" s="27" t="s">
        <v>43</v>
      </c>
      <c r="B19" s="169">
        <f>SUMIFS(Tabla_Registro_de_movimientos_app.accdb[Importe_Gasto],Tabla_Registro_de_movimientos_app.accdb[Sucursal],Franquicias!$B$5,Tabla_Registro_de_movimientos_app.accdb[Detalle de movimiento],Franquicias!A19,Tabla_Registro_de_movimientos_app.accdb[Fecha],"&gt;"&amp;Franquicias!$B$4,Tabla_Registro_de_movimientos_app.accdb[Fecha],"&lt;="&amp;Franquicias!$C$4)</f>
        <v>0</v>
      </c>
      <c r="C19" s="21" t="e">
        <f t="shared" si="0"/>
        <v>#DIV/0!</v>
      </c>
    </row>
    <row r="20" spans="1:6" x14ac:dyDescent="0.25">
      <c r="A20" s="27" t="s">
        <v>106</v>
      </c>
      <c r="B20" s="169">
        <f>SUMIFS(Tabla_Registro_de_movimientos_app.accdb[Importe_Gasto],Tabla_Registro_de_movimientos_app.accdb[Sucursal],Franquicias!$B$5,Tabla_Registro_de_movimientos_app.accdb[Detalle de movimiento],Franquicias!A20,Tabla_Registro_de_movimientos_app.accdb[Fecha],"&gt;"&amp;Franquicias!$B$4,Tabla_Registro_de_movimientos_app.accdb[Fecha],"&lt;="&amp;Franquicias!$C$4)</f>
        <v>0</v>
      </c>
      <c r="C20" s="21" t="e">
        <f t="shared" si="0"/>
        <v>#DIV/0!</v>
      </c>
    </row>
    <row r="21" spans="1:6" x14ac:dyDescent="0.25">
      <c r="A21" s="27" t="s">
        <v>44</v>
      </c>
      <c r="B21" s="169">
        <f>SUMIFS(Tabla_Registro_de_movimientos_app.accdb[Importe_Gasto],Tabla_Registro_de_movimientos_app.accdb[Sucursal],Franquicias!$B$5,Tabla_Registro_de_movimientos_app.accdb[Detalle de movimiento],Franquicias!A21,Tabla_Registro_de_movimientos_app.accdb[Fecha],"&gt;"&amp;Franquicias!$B$4,Tabla_Registro_de_movimientos_app.accdb[Fecha],"&lt;="&amp;Franquicias!$C$4)</f>
        <v>0</v>
      </c>
      <c r="C21" s="21" t="e">
        <f t="shared" si="0"/>
        <v>#DIV/0!</v>
      </c>
    </row>
    <row r="22" spans="1:6" x14ac:dyDescent="0.25">
      <c r="A22" s="27" t="s">
        <v>45</v>
      </c>
      <c r="B22" s="169">
        <f>SUMIFS(Tabla_Registro_de_movimientos_app.accdb[Importe_Gasto],Tabla_Registro_de_movimientos_app.accdb[Sucursal],Franquicias!$B$5,Tabla_Registro_de_movimientos_app.accdb[Detalle de movimiento],Franquicias!A22,Tabla_Registro_de_movimientos_app.accdb[Fecha],"&gt;"&amp;Franquicias!$B$4,Tabla_Registro_de_movimientos_app.accdb[Fecha],"&lt;="&amp;Franquicias!$C$4)</f>
        <v>0</v>
      </c>
      <c r="C22" s="21" t="e">
        <f t="shared" si="0"/>
        <v>#DIV/0!</v>
      </c>
    </row>
    <row r="23" spans="1:6" x14ac:dyDescent="0.25">
      <c r="A23" s="27" t="s">
        <v>46</v>
      </c>
      <c r="B23" s="169">
        <f>SUMIFS(Tabla_Registro_de_movimientos_app.accdb[Importe_Gasto],Tabla_Registro_de_movimientos_app.accdb[Sucursal],Franquicias!$B$5,Tabla_Registro_de_movimientos_app.accdb[Detalle de movimiento],Franquicias!A23,Tabla_Registro_de_movimientos_app.accdb[Fecha],"&gt;"&amp;Franquicias!$B$4,Tabla_Registro_de_movimientos_app.accdb[Fecha],"&lt;="&amp;Franquicias!$C$4)</f>
        <v>0</v>
      </c>
      <c r="C23" s="21" t="e">
        <f t="shared" si="0"/>
        <v>#DIV/0!</v>
      </c>
    </row>
    <row r="24" spans="1:6" x14ac:dyDescent="0.25">
      <c r="A24" s="27" t="s">
        <v>47</v>
      </c>
      <c r="B24" s="169">
        <f>SUMIFS(Tabla_Registro_de_movimientos_app.accdb[Importe_Gasto],Tabla_Registro_de_movimientos_app.accdb[Sucursal],Franquicias!$B$5,Tabla_Registro_de_movimientos_app.accdb[Detalle de movimiento],Franquicias!A24,Tabla_Registro_de_movimientos_app.accdb[Fecha],"&gt;"&amp;Franquicias!$B$4,Tabla_Registro_de_movimientos_app.accdb[Fecha],"&lt;="&amp;Franquicias!$C$4)</f>
        <v>0</v>
      </c>
      <c r="C24" s="21" t="e">
        <f t="shared" si="0"/>
        <v>#DIV/0!</v>
      </c>
    </row>
    <row r="25" spans="1:6" x14ac:dyDescent="0.25">
      <c r="A25" s="27" t="s">
        <v>50</v>
      </c>
      <c r="B25" s="169">
        <f>SUMIFS(Tabla_Registro_de_movimientos_app.accdb[Importe_Gasto],Tabla_Registro_de_movimientos_app.accdb[Sucursal],Franquicias!$B$5,Tabla_Registro_de_movimientos_app.accdb[Detalle de movimiento],Franquicias!A25,Tabla_Registro_de_movimientos_app.accdb[Fecha],"&gt;"&amp;Franquicias!$B$4,Tabla_Registro_de_movimientos_app.accdb[Fecha],"&lt;="&amp;Franquicias!$C$4)</f>
        <v>0</v>
      </c>
      <c r="C25" s="21" t="e">
        <f t="shared" si="0"/>
        <v>#DIV/0!</v>
      </c>
    </row>
    <row r="26" spans="1:6" x14ac:dyDescent="0.25">
      <c r="A26" s="27" t="s">
        <v>48</v>
      </c>
      <c r="B26" s="169">
        <f>SUMIFS(Tabla_Registro_de_movimientos_app.accdb[Importe_Gasto],Tabla_Registro_de_movimientos_app.accdb[Sucursal],Franquicias!$B$5,Tabla_Registro_de_movimientos_app.accdb[Detalle de movimiento],Franquicias!A26,Tabla_Registro_de_movimientos_app.accdb[Fecha],"&gt;"&amp;Franquicias!$B$4,Tabla_Registro_de_movimientos_app.accdb[Fecha],"&lt;="&amp;Franquicias!$C$4)</f>
        <v>0</v>
      </c>
      <c r="C26" s="21" t="e">
        <f t="shared" si="0"/>
        <v>#DIV/0!</v>
      </c>
    </row>
    <row r="27" spans="1:6" x14ac:dyDescent="0.25">
      <c r="A27" s="27" t="s">
        <v>107</v>
      </c>
      <c r="B27" s="169">
        <f>SUMIFS(Tabla_Registro_de_movimientos_app.accdb[Importe_Gasto],Tabla_Registro_de_movimientos_app.accdb[Sucursal],Franquicias!$B$5,Tabla_Registro_de_movimientos_app.accdb[Detalle de movimiento],Franquicias!A27,Tabla_Registro_de_movimientos_app.accdb[Fecha],"&gt;"&amp;Franquicias!$B$4,Tabla_Registro_de_movimientos_app.accdb[Fecha],"&lt;="&amp;Franquicias!$C$4)</f>
        <v>0</v>
      </c>
      <c r="C27" s="21" t="e">
        <f t="shared" si="0"/>
        <v>#DIV/0!</v>
      </c>
    </row>
    <row r="28" spans="1:6" x14ac:dyDescent="0.25">
      <c r="A28" s="28" t="s">
        <v>51</v>
      </c>
      <c r="B28" s="172">
        <f>SUM(B12:B27)</f>
        <v>0</v>
      </c>
      <c r="C28" s="24" t="e">
        <f>B28/B9</f>
        <v>#DIV/0!</v>
      </c>
    </row>
    <row r="29" spans="1:6" x14ac:dyDescent="0.25">
      <c r="A29" s="27"/>
      <c r="B29" s="169"/>
      <c r="C29" s="13"/>
    </row>
    <row r="30" spans="1:6" x14ac:dyDescent="0.25">
      <c r="A30" s="11" t="s">
        <v>62</v>
      </c>
      <c r="B30" s="169"/>
      <c r="C30" s="13"/>
    </row>
    <row r="31" spans="1:6" x14ac:dyDescent="0.25">
      <c r="A31" s="27" t="s">
        <v>85</v>
      </c>
      <c r="B31" s="169">
        <f>SUMIFS(Tabla_Registro_de_movimientos_app.accdb[Importe_Gasto],Tabla_Registro_de_movimientos_app.accdb[Sucursal],Franquicias!$B$5,Tabla_Registro_de_movimientos_app.accdb[Detalle de movimiento],Franquicias!A31,Tabla_Registro_de_movimientos_app.accdb[Fecha],"&gt;"&amp;Franquicias!$B$4,Tabla_Registro_de_movimientos_app.accdb[Fecha],"&lt;="&amp;Franquicias!$C$4)</f>
        <v>0</v>
      </c>
      <c r="C31" s="21" t="e">
        <f>B31/$B$44</f>
        <v>#DIV/0!</v>
      </c>
      <c r="F31" s="168"/>
    </row>
    <row r="32" spans="1:6" x14ac:dyDescent="0.25">
      <c r="A32" s="27" t="s">
        <v>63</v>
      </c>
      <c r="B32" s="169">
        <f>SUMIFS(Tabla_Registro_de_movimientos_app.accdb[Importe_Gasto],Tabla_Registro_de_movimientos_app.accdb[Sucursal],Franquicias!$B$5,Tabla_Registro_de_movimientos_app.accdb[Detalle de movimiento],Franquicias!A32,Tabla_Registro_de_movimientos_app.accdb[Fecha],"&gt;"&amp;Franquicias!$B$4,Tabla_Registro_de_movimientos_app.accdb[Fecha],"&lt;="&amp;Franquicias!$C$4)</f>
        <v>0</v>
      </c>
      <c r="C32" s="21" t="e">
        <f t="shared" ref="C32:C43" si="1">B32/$B$44</f>
        <v>#DIV/0!</v>
      </c>
    </row>
    <row r="33" spans="1:3" x14ac:dyDescent="0.25">
      <c r="A33" s="27" t="s">
        <v>64</v>
      </c>
      <c r="B33" s="169">
        <f>SUMIFS(Tabla_Registro_de_movimientos_app.accdb[Importe_Gasto],Tabla_Registro_de_movimientos_app.accdb[Sucursal],Franquicias!$B$5,Tabla_Registro_de_movimientos_app.accdb[Detalle de movimiento],Franquicias!A33,Tabla_Registro_de_movimientos_app.accdb[Fecha],"&gt;"&amp;Franquicias!$B$4,Tabla_Registro_de_movimientos_app.accdb[Fecha],"&lt;="&amp;Franquicias!$C$4)</f>
        <v>0</v>
      </c>
      <c r="C33" s="21" t="e">
        <f t="shared" si="1"/>
        <v>#DIV/0!</v>
      </c>
    </row>
    <row r="34" spans="1:3" x14ac:dyDescent="0.25">
      <c r="A34" s="27" t="s">
        <v>65</v>
      </c>
      <c r="B34" s="169">
        <f>SUMIFS(Tabla_Registro_de_movimientos_app.accdb[Importe_Gasto],Tabla_Registro_de_movimientos_app.accdb[Sucursal],Franquicias!$B$5,Tabla_Registro_de_movimientos_app.accdb[Detalle de movimiento],Franquicias!A34,Tabla_Registro_de_movimientos_app.accdb[Fecha],"&gt;"&amp;Franquicias!$B$4,Tabla_Registro_de_movimientos_app.accdb[Fecha],"&lt;="&amp;Franquicias!$C$4)</f>
        <v>0</v>
      </c>
      <c r="C34" s="21" t="e">
        <f t="shared" si="1"/>
        <v>#DIV/0!</v>
      </c>
    </row>
    <row r="35" spans="1:3" x14ac:dyDescent="0.25">
      <c r="A35" s="27" t="s">
        <v>66</v>
      </c>
      <c r="B35" s="169">
        <f>SUMIFS(Tabla_Registro_de_movimientos_app.accdb[Importe_Gasto],Tabla_Registro_de_movimientos_app.accdb[Sucursal],Franquicias!$B$5,Tabla_Registro_de_movimientos_app.accdb[Detalle de movimiento],Franquicias!A35,Tabla_Registro_de_movimientos_app.accdb[Fecha],"&gt;"&amp;Franquicias!$B$4,Tabla_Registro_de_movimientos_app.accdb[Fecha],"&lt;="&amp;Franquicias!$C$4)</f>
        <v>0</v>
      </c>
      <c r="C35" s="21" t="e">
        <f t="shared" si="1"/>
        <v>#DIV/0!</v>
      </c>
    </row>
    <row r="36" spans="1:3" x14ac:dyDescent="0.25">
      <c r="A36" s="27" t="s">
        <v>67</v>
      </c>
      <c r="B36" s="169">
        <f>SUMIFS(Tabla_Registro_de_movimientos_app.accdb[Importe_Gasto],Tabla_Registro_de_movimientos_app.accdb[Sucursal],Franquicias!$B$5,Tabla_Registro_de_movimientos_app.accdb[Detalle de movimiento],Franquicias!A36,Tabla_Registro_de_movimientos_app.accdb[Fecha],"&gt;"&amp;Franquicias!$B$4,Tabla_Registro_de_movimientos_app.accdb[Fecha],"&lt;="&amp;Franquicias!$C$4)</f>
        <v>0</v>
      </c>
      <c r="C36" s="21" t="e">
        <f t="shared" si="1"/>
        <v>#DIV/0!</v>
      </c>
    </row>
    <row r="37" spans="1:3" x14ac:dyDescent="0.25">
      <c r="A37" s="27" t="s">
        <v>68</v>
      </c>
      <c r="B37" s="169">
        <f>SUMIFS(Tabla_Registro_de_movimientos_app.accdb[Importe_Gasto],Tabla_Registro_de_movimientos_app.accdb[Sucursal],Franquicias!$B$5,Tabla_Registro_de_movimientos_app.accdb[Detalle de movimiento],Franquicias!A37,Tabla_Registro_de_movimientos_app.accdb[Fecha],"&gt;"&amp;Franquicias!$B$4,Tabla_Registro_de_movimientos_app.accdb[Fecha],"&lt;="&amp;Franquicias!$C$4)</f>
        <v>0</v>
      </c>
      <c r="C37" s="21" t="e">
        <f t="shared" si="1"/>
        <v>#DIV/0!</v>
      </c>
    </row>
    <row r="38" spans="1:3" x14ac:dyDescent="0.25">
      <c r="A38" s="27" t="s">
        <v>69</v>
      </c>
      <c r="B38" s="169">
        <f>SUMIFS(Tabla_Registro_de_movimientos_app.accdb[Importe_Gasto],Tabla_Registro_de_movimientos_app.accdb[Sucursal],Franquicias!$B$5,Tabla_Registro_de_movimientos_app.accdb[Detalle de movimiento],Franquicias!A38,Tabla_Registro_de_movimientos_app.accdb[Fecha],"&gt;"&amp;Franquicias!$B$4,Tabla_Registro_de_movimientos_app.accdb[Fecha],"&lt;="&amp;Franquicias!$C$4)</f>
        <v>0</v>
      </c>
      <c r="C38" s="21" t="e">
        <f t="shared" si="1"/>
        <v>#DIV/0!</v>
      </c>
    </row>
    <row r="39" spans="1:3" x14ac:dyDescent="0.25">
      <c r="A39" s="27" t="s">
        <v>70</v>
      </c>
      <c r="B39" s="169">
        <f>SUMIFS(Tabla_Registro_de_movimientos_app.accdb[Importe_Gasto],Tabla_Registro_de_movimientos_app.accdb[Sucursal],Franquicias!$B$5,Tabla_Registro_de_movimientos_app.accdb[Detalle de movimiento],Franquicias!A39,Tabla_Registro_de_movimientos_app.accdb[Fecha],"&gt;"&amp;Franquicias!$B$4,Tabla_Registro_de_movimientos_app.accdb[Fecha],"&lt;="&amp;Franquicias!$C$4)</f>
        <v>0</v>
      </c>
      <c r="C39" s="21" t="e">
        <f t="shared" si="1"/>
        <v>#DIV/0!</v>
      </c>
    </row>
    <row r="40" spans="1:3" x14ac:dyDescent="0.25">
      <c r="A40" s="27" t="s">
        <v>71</v>
      </c>
      <c r="B40" s="169">
        <f>SUMIFS(Tabla_Registro_de_movimientos_app.accdb[Importe_Gasto],Tabla_Registro_de_movimientos_app.accdb[Sucursal],Franquicias!$B$5,Tabla_Registro_de_movimientos_app.accdb[Detalle de movimiento],Franquicias!A40,Tabla_Registro_de_movimientos_app.accdb[Fecha],"&gt;"&amp;Franquicias!$B$4,Tabla_Registro_de_movimientos_app.accdb[Fecha],"&lt;="&amp;Franquicias!$C$4)</f>
        <v>0</v>
      </c>
      <c r="C40" s="21" t="e">
        <f t="shared" si="1"/>
        <v>#DIV/0!</v>
      </c>
    </row>
    <row r="41" spans="1:3" x14ac:dyDescent="0.25">
      <c r="A41" s="27" t="s">
        <v>72</v>
      </c>
      <c r="B41" s="169">
        <f>SUMIFS(Tabla_Registro_de_movimientos_app.accdb[Importe_Gasto],Tabla_Registro_de_movimientos_app.accdb[Sucursal],Franquicias!$B$5,Tabla_Registro_de_movimientos_app.accdb[Detalle de movimiento],Franquicias!A41,Tabla_Registro_de_movimientos_app.accdb[Fecha],"&gt;"&amp;Franquicias!$B$4,Tabla_Registro_de_movimientos_app.accdb[Fecha],"&lt;="&amp;Franquicias!$C$4)</f>
        <v>0</v>
      </c>
      <c r="C41" s="21" t="e">
        <f t="shared" si="1"/>
        <v>#DIV/0!</v>
      </c>
    </row>
    <row r="42" spans="1:3" x14ac:dyDescent="0.25">
      <c r="A42" s="27" t="s">
        <v>73</v>
      </c>
      <c r="B42" s="169">
        <f>SUMIFS(Tabla_Registro_de_movimientos_app.accdb[Importe_Gasto],Tabla_Registro_de_movimientos_app.accdb[Sucursal],Franquicias!$B$5,Tabla_Registro_de_movimientos_app.accdb[Detalle de movimiento],Franquicias!A42,Tabla_Registro_de_movimientos_app.accdb[Fecha],"&gt;"&amp;Franquicias!$B$4,Tabla_Registro_de_movimientos_app.accdb[Fecha],"&lt;="&amp;Franquicias!$C$4)</f>
        <v>0</v>
      </c>
      <c r="C42" s="21" t="e">
        <f t="shared" si="1"/>
        <v>#DIV/0!</v>
      </c>
    </row>
    <row r="43" spans="1:3" x14ac:dyDescent="0.25">
      <c r="A43" s="27" t="s">
        <v>74</v>
      </c>
      <c r="B43" s="169">
        <f>SUMIFS(Tabla_Registro_de_movimientos_app.accdb[Importe_Gasto],Tabla_Registro_de_movimientos_app.accdb[Sucursal],Franquicias!$B$5,Tabla_Registro_de_movimientos_app.accdb[Detalle de movimiento],Franquicias!A43,Tabla_Registro_de_movimientos_app.accdb[Fecha],"&gt;"&amp;Franquicias!$B$4,Tabla_Registro_de_movimientos_app.accdb[Fecha],"&lt;="&amp;Franquicias!$C$4)</f>
        <v>0</v>
      </c>
      <c r="C43" s="21" t="e">
        <f t="shared" si="1"/>
        <v>#DIV/0!</v>
      </c>
    </row>
    <row r="44" spans="1:3" x14ac:dyDescent="0.25">
      <c r="A44" s="28" t="s">
        <v>75</v>
      </c>
      <c r="B44" s="172">
        <f>SUM(B31:B43)</f>
        <v>0</v>
      </c>
      <c r="C44" s="24" t="e">
        <f>B44/B9</f>
        <v>#DIV/0!</v>
      </c>
    </row>
    <row r="45" spans="1:3" x14ac:dyDescent="0.25">
      <c r="A45" s="27"/>
      <c r="B45" s="12"/>
      <c r="C45" s="13"/>
    </row>
    <row r="46" spans="1:3" x14ac:dyDescent="0.25">
      <c r="A46" s="54" t="s">
        <v>95</v>
      </c>
      <c r="B46" s="55">
        <f>B9-B28-B44</f>
        <v>0</v>
      </c>
      <c r="C46" s="56" t="e">
        <f>B46/B9</f>
        <v>#DIV/0!</v>
      </c>
    </row>
    <row r="47" spans="1:3" x14ac:dyDescent="0.25">
      <c r="A47" s="12"/>
      <c r="B47" s="12"/>
      <c r="C47" s="13"/>
    </row>
    <row r="48" spans="1:3" x14ac:dyDescent="0.25">
      <c r="A48" s="11" t="s">
        <v>96</v>
      </c>
      <c r="B48" s="12"/>
      <c r="C48" s="13"/>
    </row>
    <row r="49" spans="1:3" x14ac:dyDescent="0.25">
      <c r="A49" s="27" t="s">
        <v>77</v>
      </c>
      <c r="B49" s="20" t="e">
        <f>Matriz!C52*Franquicias!C9</f>
        <v>#DIV/0!</v>
      </c>
      <c r="C49" s="21" t="e">
        <f>B49/$B$51</f>
        <v>#DIV/0!</v>
      </c>
    </row>
    <row r="50" spans="1:3" x14ac:dyDescent="0.25">
      <c r="A50" s="27" t="s">
        <v>78</v>
      </c>
      <c r="B50" s="12"/>
      <c r="C50" s="21" t="e">
        <f>B50/$B$51</f>
        <v>#DIV/0!</v>
      </c>
    </row>
    <row r="51" spans="1:3" x14ac:dyDescent="0.25">
      <c r="A51" s="28" t="s">
        <v>79</v>
      </c>
      <c r="B51" s="23" t="e">
        <f>SUM(B49:B50)</f>
        <v>#DIV/0!</v>
      </c>
      <c r="C51" s="116" t="e">
        <f>B51/B9</f>
        <v>#DIV/0!</v>
      </c>
    </row>
    <row r="52" spans="1:3" x14ac:dyDescent="0.25">
      <c r="A52" s="12"/>
      <c r="B52" s="12"/>
      <c r="C52" s="13"/>
    </row>
    <row r="53" spans="1:3" x14ac:dyDescent="0.25">
      <c r="A53" s="31" t="s">
        <v>80</v>
      </c>
      <c r="B53" s="57" t="e">
        <f>B46-B51</f>
        <v>#DIV/0!</v>
      </c>
      <c r="C53" s="47" t="e">
        <f>B53/B9</f>
        <v>#DIV/0!</v>
      </c>
    </row>
    <row r="54" spans="1:3" x14ac:dyDescent="0.25">
      <c r="A54" s="12"/>
      <c r="B54" s="12"/>
      <c r="C54" s="13"/>
    </row>
    <row r="55" spans="1:3" x14ac:dyDescent="0.25">
      <c r="A55" s="15" t="s">
        <v>81</v>
      </c>
      <c r="B55" s="12"/>
      <c r="C55" s="13"/>
    </row>
    <row r="56" spans="1:3" x14ac:dyDescent="0.25">
      <c r="A56" s="12"/>
      <c r="B56" s="12">
        <v>0</v>
      </c>
      <c r="C56" s="13"/>
    </row>
    <row r="57" spans="1:3" x14ac:dyDescent="0.25">
      <c r="A57" s="12"/>
      <c r="B57" s="12">
        <v>0</v>
      </c>
      <c r="C57" s="13"/>
    </row>
    <row r="58" spans="1:3" x14ac:dyDescent="0.25">
      <c r="A58" s="12"/>
      <c r="B58" s="12">
        <v>0</v>
      </c>
      <c r="C58" s="13"/>
    </row>
    <row r="59" spans="1:3" x14ac:dyDescent="0.25">
      <c r="A59" s="27"/>
      <c r="B59" s="12">
        <v>0</v>
      </c>
      <c r="C59" s="13"/>
    </row>
    <row r="60" spans="1:3" x14ac:dyDescent="0.25">
      <c r="A60" s="27"/>
      <c r="B60" s="12">
        <v>0</v>
      </c>
      <c r="C60" s="13"/>
    </row>
    <row r="61" spans="1:3" x14ac:dyDescent="0.25">
      <c r="A61" s="27"/>
      <c r="B61" s="12">
        <v>0</v>
      </c>
      <c r="C61" s="13"/>
    </row>
    <row r="62" spans="1:3" x14ac:dyDescent="0.25">
      <c r="A62" s="27"/>
      <c r="B62" s="12">
        <v>0</v>
      </c>
      <c r="C62" s="13"/>
    </row>
    <row r="63" spans="1:3" x14ac:dyDescent="0.25">
      <c r="A63" s="34" t="s">
        <v>82</v>
      </c>
      <c r="B63" s="34">
        <f>SUM(B56:B62)</f>
        <v>0</v>
      </c>
      <c r="C63" s="13"/>
    </row>
  </sheetData>
  <mergeCells count="1">
    <mergeCell ref="B5:C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DF0B4-E6C2-45DD-9BE3-F2FE5A22C21A}">
  <sheetPr codeName="Hoja18"/>
  <dimension ref="A1:F63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</cols>
  <sheetData>
    <row r="1" spans="1:3" x14ac:dyDescent="0.25">
      <c r="A1" s="11" t="s">
        <v>31</v>
      </c>
      <c r="B1" s="12"/>
      <c r="C1" s="13"/>
    </row>
    <row r="2" spans="1:3" x14ac:dyDescent="0.25">
      <c r="A2" s="11" t="s">
        <v>32</v>
      </c>
      <c r="B2" s="12"/>
      <c r="C2" s="13"/>
    </row>
    <row r="3" spans="1:3" x14ac:dyDescent="0.25">
      <c r="A3" s="14" t="s">
        <v>100</v>
      </c>
      <c r="B3" s="12"/>
      <c r="C3" s="13"/>
    </row>
    <row r="4" spans="1:3" x14ac:dyDescent="0.25">
      <c r="A4" s="12"/>
      <c r="B4" s="183">
        <v>45070</v>
      </c>
      <c r="C4" s="183">
        <v>45077</v>
      </c>
    </row>
    <row r="5" spans="1:3" x14ac:dyDescent="0.25">
      <c r="A5" s="12"/>
      <c r="B5" s="224" t="s">
        <v>108</v>
      </c>
      <c r="C5" s="224"/>
    </row>
    <row r="6" spans="1:3" x14ac:dyDescent="0.25">
      <c r="A6" s="51" t="s">
        <v>101</v>
      </c>
      <c r="B6" s="16" t="s">
        <v>36</v>
      </c>
      <c r="C6" s="16" t="s">
        <v>37</v>
      </c>
    </row>
    <row r="7" spans="1:3" x14ac:dyDescent="0.25">
      <c r="A7" s="27" t="s">
        <v>109</v>
      </c>
      <c r="B7" s="169">
        <f>SUMIFS(Tabla_Registro_de_movimientos_app.accdb[Importe_Ingreso],Tabla_Registro_de_movimientos_app.accdb[Sucursal],Franquicias_Semanal!$B$5,Tabla_Registro_de_movimientos_app.accdb[Detalle de movimiento],Franquicias_Semanal!A7,Tabla_Registro_de_movimientos_app.accdb[Fecha],"&gt;"&amp;Franquicias_Semanal!$B$4,Tabla_Registro_de_movimientos_app.accdb[Fecha],"&lt;="&amp;Franquicias_Semanal!$C$4)</f>
        <v>0</v>
      </c>
      <c r="C7" s="52" t="e">
        <f>B7/$B$9</f>
        <v>#DIV/0!</v>
      </c>
    </row>
    <row r="8" spans="1:3" x14ac:dyDescent="0.25">
      <c r="A8" s="27" t="s">
        <v>102</v>
      </c>
      <c r="B8" s="169">
        <f>SUMIFS(Tabla_Registro_de_movimientos_app.accdb[Importe_Ingreso],Tabla_Registro_de_movimientos_app.accdb[Sucursal],Franquicias_Semanal!$B$5,Tabla_Registro_de_movimientos_app.accdb[Detalle de movimiento],Franquicias_Semanal!A8,Tabla_Registro_de_movimientos_app.accdb[Fecha],"&gt;"&amp;Franquicias_Semanal!$B$4,Tabla_Registro_de_movimientos_app.accdb[Fecha],"&lt;="&amp;Franquicias_Semanal!$C$4)</f>
        <v>0</v>
      </c>
      <c r="C8" s="52" t="e">
        <f>B8/$B$9</f>
        <v>#DIV/0!</v>
      </c>
    </row>
    <row r="9" spans="1:3" x14ac:dyDescent="0.25">
      <c r="A9" s="28" t="s">
        <v>103</v>
      </c>
      <c r="B9" s="172">
        <f>SUM(B7:B8)</f>
        <v>0</v>
      </c>
      <c r="C9" s="53" t="e">
        <f>SUM(C7:C8)</f>
        <v>#DIV/0!</v>
      </c>
    </row>
    <row r="10" spans="1:3" x14ac:dyDescent="0.25">
      <c r="A10" s="11"/>
      <c r="B10" s="169"/>
      <c r="C10" s="13"/>
    </row>
    <row r="11" spans="1:3" x14ac:dyDescent="0.25">
      <c r="A11" s="11" t="s">
        <v>104</v>
      </c>
      <c r="B11" s="169"/>
      <c r="C11" s="13"/>
    </row>
    <row r="12" spans="1:3" x14ac:dyDescent="0.25">
      <c r="A12" s="27" t="s">
        <v>105</v>
      </c>
      <c r="B12" s="169">
        <f>SUMIFS(Tabla_Registro_de_movimientos_app.accdb[Importe_Gasto],Tabla_Registro_de_movimientos_app.accdb[Sucursal],Franquicias_Semanal!$B$5,Tabla_Registro_de_movimientos_app.accdb[Detalle de movimiento],Franquicias_Semanal!A12,Tabla_Registro_de_movimientos_app.accdb[Fecha],"&gt;"&amp;Franquicias_Semanal!$B$4,Tabla_Registro_de_movimientos_app.accdb[Fecha],"&lt;="&amp;Franquicias_Semanal!$C$4)</f>
        <v>0</v>
      </c>
      <c r="C12" s="21" t="e">
        <f>B12/$B$28</f>
        <v>#DIV/0!</v>
      </c>
    </row>
    <row r="13" spans="1:3" x14ac:dyDescent="0.25">
      <c r="A13" s="27" t="s">
        <v>26</v>
      </c>
      <c r="B13" s="169">
        <f>SUMIFS(Tabla_Registro_de_movimientos_app.accdb[Importe_Gasto],Tabla_Registro_de_movimientos_app.accdb[Sucursal],Franquicias_Semanal!$B$5,Tabla_Registro_de_movimientos_app.accdb[Detalle de movimiento],Franquicias_Semanal!A13,Tabla_Registro_de_movimientos_app.accdb[Fecha],"&gt;"&amp;Franquicias_Semanal!$B$4,Tabla_Registro_de_movimientos_app.accdb[Fecha],"&lt;="&amp;Franquicias_Semanal!$C$4)</f>
        <v>0</v>
      </c>
      <c r="C13" s="21" t="e">
        <f t="shared" ref="C13:C27" si="0">B13/$B$28</f>
        <v>#DIV/0!</v>
      </c>
    </row>
    <row r="14" spans="1:3" x14ac:dyDescent="0.25">
      <c r="A14" s="27" t="s">
        <v>41</v>
      </c>
      <c r="B14" s="169">
        <f>SUMIFS(Tabla_Registro_de_movimientos_app.accdb[Importe_Gasto],Tabla_Registro_de_movimientos_app.accdb[Sucursal],Franquicias_Semanal!$B$5,Tabla_Registro_de_movimientos_app.accdb[Detalle de movimiento],Franquicias_Semanal!A14,Tabla_Registro_de_movimientos_app.accdb[Fecha],"&gt;"&amp;Franquicias_Semanal!$B$4,Tabla_Registro_de_movimientos_app.accdb[Fecha],"&lt;="&amp;Franquicias_Semanal!$C$4)</f>
        <v>0</v>
      </c>
      <c r="C14" s="21" t="e">
        <f t="shared" si="0"/>
        <v>#DIV/0!</v>
      </c>
    </row>
    <row r="15" spans="1:3" x14ac:dyDescent="0.25">
      <c r="A15" s="27" t="s">
        <v>42</v>
      </c>
      <c r="B15" s="169">
        <f>SUMIFS(Tabla_Registro_de_movimientos_app.accdb[Importe_Gasto],Tabla_Registro_de_movimientos_app.accdb[Sucursal],Franquicias_Semanal!$B$5,Tabla_Registro_de_movimientos_app.accdb[Detalle de movimiento],Franquicias_Semanal!A15,Tabla_Registro_de_movimientos_app.accdb[Fecha],"&gt;"&amp;Franquicias_Semanal!$B$4,Tabla_Registro_de_movimientos_app.accdb[Fecha],"&lt;="&amp;Franquicias_Semanal!$C$4)</f>
        <v>0</v>
      </c>
      <c r="C15" s="21" t="e">
        <f t="shared" si="0"/>
        <v>#DIV/0!</v>
      </c>
    </row>
    <row r="16" spans="1:3" x14ac:dyDescent="0.25">
      <c r="A16" s="27" t="s">
        <v>28</v>
      </c>
      <c r="B16" s="169">
        <f>SUMIFS(Tabla_Registro_de_movimientos_app.accdb[Importe_Gasto],Tabla_Registro_de_movimientos_app.accdb[Sucursal],Franquicias_Semanal!$B$5,Tabla_Registro_de_movimientos_app.accdb[Detalle de movimiento],Franquicias_Semanal!A16,Tabla_Registro_de_movimientos_app.accdb[Fecha],"&gt;"&amp;Franquicias_Semanal!$B$4,Tabla_Registro_de_movimientos_app.accdb[Fecha],"&lt;="&amp;Franquicias_Semanal!$C$4)</f>
        <v>0</v>
      </c>
      <c r="C16" s="21" t="e">
        <f t="shared" si="0"/>
        <v>#DIV/0!</v>
      </c>
    </row>
    <row r="17" spans="1:6" x14ac:dyDescent="0.25">
      <c r="A17" s="27" t="s">
        <v>12</v>
      </c>
      <c r="B17" s="169">
        <f>SUMIFS(Tabla_Registro_de_movimientos_app.accdb[Importe_Gasto],Tabla_Registro_de_movimientos_app.accdb[Sucursal],Franquicias_Semanal!$B$5,Tabla_Registro_de_movimientos_app.accdb[Detalle de movimiento],Franquicias_Semanal!A17,Tabla_Registro_de_movimientos_app.accdb[Fecha],"&gt;"&amp;Franquicias_Semanal!$B$4,Tabla_Registro_de_movimientos_app.accdb[Fecha],"&lt;="&amp;Franquicias_Semanal!$C$4)</f>
        <v>0</v>
      </c>
      <c r="C17" s="21" t="e">
        <f t="shared" si="0"/>
        <v>#DIV/0!</v>
      </c>
    </row>
    <row r="18" spans="1:6" x14ac:dyDescent="0.25">
      <c r="A18" s="27" t="s">
        <v>52</v>
      </c>
      <c r="B18" s="169">
        <f>SUMIFS(Tabla_Registro_de_movimientos_app.accdb[Importe_Gasto],Tabla_Registro_de_movimientos_app.accdb[Sucursal],Franquicias_Semanal!$B$5,Tabla_Registro_de_movimientos_app.accdb[Detalle de movimiento],Franquicias_Semanal!A18,Tabla_Registro_de_movimientos_app.accdb[Fecha],"&gt;"&amp;Franquicias_Semanal!$B$4,Tabla_Registro_de_movimientos_app.accdb[Fecha],"&lt;="&amp;Franquicias_Semanal!$C$4)</f>
        <v>0</v>
      </c>
      <c r="C18" s="21" t="e">
        <f t="shared" si="0"/>
        <v>#DIV/0!</v>
      </c>
    </row>
    <row r="19" spans="1:6" x14ac:dyDescent="0.25">
      <c r="A19" s="27" t="s">
        <v>43</v>
      </c>
      <c r="B19" s="169">
        <f>SUMIFS(Tabla_Registro_de_movimientos_app.accdb[Importe_Gasto],Tabla_Registro_de_movimientos_app.accdb[Sucursal],Franquicias_Semanal!$B$5,Tabla_Registro_de_movimientos_app.accdb[Detalle de movimiento],Franquicias_Semanal!A19,Tabla_Registro_de_movimientos_app.accdb[Fecha],"&gt;"&amp;Franquicias_Semanal!$B$4,Tabla_Registro_de_movimientos_app.accdb[Fecha],"&lt;="&amp;Franquicias_Semanal!$C$4)</f>
        <v>0</v>
      </c>
      <c r="C19" s="21" t="e">
        <f t="shared" si="0"/>
        <v>#DIV/0!</v>
      </c>
    </row>
    <row r="20" spans="1:6" x14ac:dyDescent="0.25">
      <c r="A20" s="27" t="s">
        <v>106</v>
      </c>
      <c r="B20" s="169">
        <f>SUMIFS(Tabla_Registro_de_movimientos_app.accdb[Importe_Gasto],Tabla_Registro_de_movimientos_app.accdb[Sucursal],Franquicias_Semanal!$B$5,Tabla_Registro_de_movimientos_app.accdb[Detalle de movimiento],Franquicias_Semanal!A20,Tabla_Registro_de_movimientos_app.accdb[Fecha],"&gt;"&amp;Franquicias_Semanal!$B$4,Tabla_Registro_de_movimientos_app.accdb[Fecha],"&lt;="&amp;Franquicias_Semanal!$C$4)</f>
        <v>0</v>
      </c>
      <c r="C20" s="21" t="e">
        <f t="shared" si="0"/>
        <v>#DIV/0!</v>
      </c>
    </row>
    <row r="21" spans="1:6" x14ac:dyDescent="0.25">
      <c r="A21" s="27" t="s">
        <v>44</v>
      </c>
      <c r="B21" s="169">
        <f>SUMIFS(Tabla_Registro_de_movimientos_app.accdb[Importe_Gasto],Tabla_Registro_de_movimientos_app.accdb[Sucursal],Franquicias_Semanal!$B$5,Tabla_Registro_de_movimientos_app.accdb[Detalle de movimiento],Franquicias_Semanal!A21,Tabla_Registro_de_movimientos_app.accdb[Fecha],"&gt;"&amp;Franquicias_Semanal!$B$4,Tabla_Registro_de_movimientos_app.accdb[Fecha],"&lt;="&amp;Franquicias_Semanal!$C$4)</f>
        <v>0</v>
      </c>
      <c r="C21" s="21" t="e">
        <f t="shared" si="0"/>
        <v>#DIV/0!</v>
      </c>
    </row>
    <row r="22" spans="1:6" x14ac:dyDescent="0.25">
      <c r="A22" s="27" t="s">
        <v>45</v>
      </c>
      <c r="B22" s="169">
        <f>SUMIFS(Tabla_Registro_de_movimientos_app.accdb[Importe_Gasto],Tabla_Registro_de_movimientos_app.accdb[Sucursal],Franquicias_Semanal!$B$5,Tabla_Registro_de_movimientos_app.accdb[Detalle de movimiento],Franquicias_Semanal!A22,Tabla_Registro_de_movimientos_app.accdb[Fecha],"&gt;"&amp;Franquicias_Semanal!$B$4,Tabla_Registro_de_movimientos_app.accdb[Fecha],"&lt;="&amp;Franquicias_Semanal!$C$4)</f>
        <v>0</v>
      </c>
      <c r="C22" s="21" t="e">
        <f t="shared" si="0"/>
        <v>#DIV/0!</v>
      </c>
    </row>
    <row r="23" spans="1:6" x14ac:dyDescent="0.25">
      <c r="A23" s="27" t="s">
        <v>46</v>
      </c>
      <c r="B23" s="169">
        <f>SUMIFS(Tabla_Registro_de_movimientos_app.accdb[Importe_Gasto],Tabla_Registro_de_movimientos_app.accdb[Sucursal],Franquicias_Semanal!$B$5,Tabla_Registro_de_movimientos_app.accdb[Detalle de movimiento],Franquicias_Semanal!A23,Tabla_Registro_de_movimientos_app.accdb[Fecha],"&gt;"&amp;Franquicias_Semanal!$B$4,Tabla_Registro_de_movimientos_app.accdb[Fecha],"&lt;="&amp;Franquicias_Semanal!$C$4)</f>
        <v>0</v>
      </c>
      <c r="C23" s="21" t="e">
        <f t="shared" si="0"/>
        <v>#DIV/0!</v>
      </c>
    </row>
    <row r="24" spans="1:6" x14ac:dyDescent="0.25">
      <c r="A24" s="27" t="s">
        <v>47</v>
      </c>
      <c r="B24" s="169">
        <f>SUMIFS(Tabla_Registro_de_movimientos_app.accdb[Importe_Gasto],Tabla_Registro_de_movimientos_app.accdb[Sucursal],Franquicias_Semanal!$B$5,Tabla_Registro_de_movimientos_app.accdb[Detalle de movimiento],Franquicias_Semanal!A24,Tabla_Registro_de_movimientos_app.accdb[Fecha],"&gt;"&amp;Franquicias_Semanal!$B$4,Tabla_Registro_de_movimientos_app.accdb[Fecha],"&lt;="&amp;Franquicias_Semanal!$C$4)</f>
        <v>0</v>
      </c>
      <c r="C24" s="21" t="e">
        <f t="shared" si="0"/>
        <v>#DIV/0!</v>
      </c>
    </row>
    <row r="25" spans="1:6" x14ac:dyDescent="0.25">
      <c r="A25" s="27" t="s">
        <v>50</v>
      </c>
      <c r="B25" s="169">
        <f>SUMIFS(Tabla_Registro_de_movimientos_app.accdb[Importe_Gasto],Tabla_Registro_de_movimientos_app.accdb[Sucursal],Franquicias_Semanal!$B$5,Tabla_Registro_de_movimientos_app.accdb[Detalle de movimiento],Franquicias_Semanal!A25,Tabla_Registro_de_movimientos_app.accdb[Fecha],"&gt;"&amp;Franquicias_Semanal!$B$4,Tabla_Registro_de_movimientos_app.accdb[Fecha],"&lt;="&amp;Franquicias_Semanal!$C$4)</f>
        <v>0</v>
      </c>
      <c r="C25" s="21" t="e">
        <f t="shared" si="0"/>
        <v>#DIV/0!</v>
      </c>
    </row>
    <row r="26" spans="1:6" x14ac:dyDescent="0.25">
      <c r="A26" s="27" t="s">
        <v>48</v>
      </c>
      <c r="B26" s="169">
        <f>SUMIFS(Tabla_Registro_de_movimientos_app.accdb[Importe_Gasto],Tabla_Registro_de_movimientos_app.accdb[Sucursal],Franquicias_Semanal!$B$5,Tabla_Registro_de_movimientos_app.accdb[Detalle de movimiento],Franquicias_Semanal!A26,Tabla_Registro_de_movimientos_app.accdb[Fecha],"&gt;"&amp;Franquicias_Semanal!$B$4,Tabla_Registro_de_movimientos_app.accdb[Fecha],"&lt;="&amp;Franquicias_Semanal!$C$4)</f>
        <v>0</v>
      </c>
      <c r="C26" s="21" t="e">
        <f t="shared" si="0"/>
        <v>#DIV/0!</v>
      </c>
    </row>
    <row r="27" spans="1:6" x14ac:dyDescent="0.25">
      <c r="A27" s="27" t="s">
        <v>107</v>
      </c>
      <c r="B27" s="169">
        <f>SUMIFS(Tabla_Registro_de_movimientos_app.accdb[Importe_Gasto],Tabla_Registro_de_movimientos_app.accdb[Sucursal],Franquicias_Semanal!$B$5,Tabla_Registro_de_movimientos_app.accdb[Detalle de movimiento],Franquicias_Semanal!A27,Tabla_Registro_de_movimientos_app.accdb[Fecha],"&gt;"&amp;Franquicias_Semanal!$B$4,Tabla_Registro_de_movimientos_app.accdb[Fecha],"&lt;="&amp;Franquicias_Semanal!$C$4)</f>
        <v>0</v>
      </c>
      <c r="C27" s="21" t="e">
        <f t="shared" si="0"/>
        <v>#DIV/0!</v>
      </c>
    </row>
    <row r="28" spans="1:6" x14ac:dyDescent="0.25">
      <c r="A28" s="28" t="s">
        <v>51</v>
      </c>
      <c r="B28" s="172">
        <f>SUM(B12:B27)</f>
        <v>0</v>
      </c>
      <c r="C28" s="24" t="e">
        <f>B28/B9</f>
        <v>#DIV/0!</v>
      </c>
    </row>
    <row r="29" spans="1:6" x14ac:dyDescent="0.25">
      <c r="A29" s="27"/>
      <c r="B29" s="169"/>
      <c r="C29" s="13"/>
    </row>
    <row r="30" spans="1:6" x14ac:dyDescent="0.25">
      <c r="A30" s="11" t="s">
        <v>62</v>
      </c>
      <c r="B30" s="169"/>
      <c r="C30" s="13"/>
    </row>
    <row r="31" spans="1:6" x14ac:dyDescent="0.25">
      <c r="A31" s="27" t="s">
        <v>85</v>
      </c>
      <c r="B31" s="169">
        <f>SUMIFS(Tabla_Registro_de_movimientos_app.accdb[Importe_Gasto],Tabla_Registro_de_movimientos_app.accdb[Sucursal],Franquicias_Semanal!$B$5,Tabla_Registro_de_movimientos_app.accdb[Detalle de movimiento],Franquicias_Semanal!A31,Tabla_Registro_de_movimientos_app.accdb[Fecha],"&gt;"&amp;Franquicias_Semanal!$B$4,Tabla_Registro_de_movimientos_app.accdb[Fecha],"&lt;="&amp;Franquicias_Semanal!$C$4)</f>
        <v>0</v>
      </c>
      <c r="C31" s="21" t="e">
        <f>B31/$B$44</f>
        <v>#DIV/0!</v>
      </c>
      <c r="F31" s="168"/>
    </row>
    <row r="32" spans="1:6" x14ac:dyDescent="0.25">
      <c r="A32" s="27" t="s">
        <v>63</v>
      </c>
      <c r="B32" s="169">
        <f>SUMIFS(Tabla_Registro_de_movimientos_app.accdb[Importe_Gasto],Tabla_Registro_de_movimientos_app.accdb[Sucursal],Franquicias_Semanal!$B$5,Tabla_Registro_de_movimientos_app.accdb[Detalle de movimiento],Franquicias_Semanal!A32,Tabla_Registro_de_movimientos_app.accdb[Fecha],"&gt;"&amp;Franquicias_Semanal!$B$4,Tabla_Registro_de_movimientos_app.accdb[Fecha],"&lt;="&amp;Franquicias_Semanal!$C$4)</f>
        <v>0</v>
      </c>
      <c r="C32" s="21" t="e">
        <f t="shared" ref="C32:C43" si="1">B32/$B$44</f>
        <v>#DIV/0!</v>
      </c>
    </row>
    <row r="33" spans="1:3" x14ac:dyDescent="0.25">
      <c r="A33" s="27" t="s">
        <v>64</v>
      </c>
      <c r="B33" s="169">
        <f>SUMIFS(Tabla_Registro_de_movimientos_app.accdb[Importe_Gasto],Tabla_Registro_de_movimientos_app.accdb[Sucursal],Franquicias_Semanal!$B$5,Tabla_Registro_de_movimientos_app.accdb[Detalle de movimiento],Franquicias_Semanal!A33,Tabla_Registro_de_movimientos_app.accdb[Fecha],"&gt;"&amp;Franquicias_Semanal!$B$4,Tabla_Registro_de_movimientos_app.accdb[Fecha],"&lt;="&amp;Franquicias_Semanal!$C$4)</f>
        <v>0</v>
      </c>
      <c r="C33" s="21" t="e">
        <f t="shared" si="1"/>
        <v>#DIV/0!</v>
      </c>
    </row>
    <row r="34" spans="1:3" x14ac:dyDescent="0.25">
      <c r="A34" s="27" t="s">
        <v>65</v>
      </c>
      <c r="B34" s="169">
        <f>SUMIFS(Tabla_Registro_de_movimientos_app.accdb[Importe_Gasto],Tabla_Registro_de_movimientos_app.accdb[Sucursal],Franquicias_Semanal!$B$5,Tabla_Registro_de_movimientos_app.accdb[Detalle de movimiento],Franquicias_Semanal!A34,Tabla_Registro_de_movimientos_app.accdb[Fecha],"&gt;"&amp;Franquicias_Semanal!$B$4,Tabla_Registro_de_movimientos_app.accdb[Fecha],"&lt;="&amp;Franquicias_Semanal!$C$4)</f>
        <v>0</v>
      </c>
      <c r="C34" s="21" t="e">
        <f t="shared" si="1"/>
        <v>#DIV/0!</v>
      </c>
    </row>
    <row r="35" spans="1:3" x14ac:dyDescent="0.25">
      <c r="A35" s="27" t="s">
        <v>66</v>
      </c>
      <c r="B35" s="169">
        <f>SUMIFS(Tabla_Registro_de_movimientos_app.accdb[Importe_Gasto],Tabla_Registro_de_movimientos_app.accdb[Sucursal],Franquicias_Semanal!$B$5,Tabla_Registro_de_movimientos_app.accdb[Detalle de movimiento],Franquicias_Semanal!A35,Tabla_Registro_de_movimientos_app.accdb[Fecha],"&gt;"&amp;Franquicias_Semanal!$B$4,Tabla_Registro_de_movimientos_app.accdb[Fecha],"&lt;="&amp;Franquicias_Semanal!$C$4)</f>
        <v>0</v>
      </c>
      <c r="C35" s="21" t="e">
        <f t="shared" si="1"/>
        <v>#DIV/0!</v>
      </c>
    </row>
    <row r="36" spans="1:3" x14ac:dyDescent="0.25">
      <c r="A36" s="27" t="s">
        <v>67</v>
      </c>
      <c r="B36" s="169">
        <f>SUMIFS(Tabla_Registro_de_movimientos_app.accdb[Importe_Gasto],Tabla_Registro_de_movimientos_app.accdb[Sucursal],Franquicias_Semanal!$B$5,Tabla_Registro_de_movimientos_app.accdb[Detalle de movimiento],Franquicias_Semanal!A36,Tabla_Registro_de_movimientos_app.accdb[Fecha],"&gt;"&amp;Franquicias_Semanal!$B$4,Tabla_Registro_de_movimientos_app.accdb[Fecha],"&lt;="&amp;Franquicias_Semanal!$C$4)</f>
        <v>0</v>
      </c>
      <c r="C36" s="21" t="e">
        <f t="shared" si="1"/>
        <v>#DIV/0!</v>
      </c>
    </row>
    <row r="37" spans="1:3" x14ac:dyDescent="0.25">
      <c r="A37" s="27" t="s">
        <v>68</v>
      </c>
      <c r="B37" s="169">
        <f>SUMIFS(Tabla_Registro_de_movimientos_app.accdb[Importe_Gasto],Tabla_Registro_de_movimientos_app.accdb[Sucursal],Franquicias_Semanal!$B$5,Tabla_Registro_de_movimientos_app.accdb[Detalle de movimiento],Franquicias_Semanal!A37,Tabla_Registro_de_movimientos_app.accdb[Fecha],"&gt;"&amp;Franquicias_Semanal!$B$4,Tabla_Registro_de_movimientos_app.accdb[Fecha],"&lt;="&amp;Franquicias_Semanal!$C$4)</f>
        <v>0</v>
      </c>
      <c r="C37" s="21" t="e">
        <f t="shared" si="1"/>
        <v>#DIV/0!</v>
      </c>
    </row>
    <row r="38" spans="1:3" x14ac:dyDescent="0.25">
      <c r="A38" s="27" t="s">
        <v>69</v>
      </c>
      <c r="B38" s="169">
        <f>SUMIFS(Tabla_Registro_de_movimientos_app.accdb[Importe_Gasto],Tabla_Registro_de_movimientos_app.accdb[Sucursal],Franquicias_Semanal!$B$5,Tabla_Registro_de_movimientos_app.accdb[Detalle de movimiento],Franquicias_Semanal!A38,Tabla_Registro_de_movimientos_app.accdb[Fecha],"&gt;"&amp;Franquicias_Semanal!$B$4,Tabla_Registro_de_movimientos_app.accdb[Fecha],"&lt;="&amp;Franquicias_Semanal!$C$4)</f>
        <v>0</v>
      </c>
      <c r="C38" s="21" t="e">
        <f t="shared" si="1"/>
        <v>#DIV/0!</v>
      </c>
    </row>
    <row r="39" spans="1:3" x14ac:dyDescent="0.25">
      <c r="A39" s="27" t="s">
        <v>70</v>
      </c>
      <c r="B39" s="169">
        <f>SUMIFS(Tabla_Registro_de_movimientos_app.accdb[Importe_Gasto],Tabla_Registro_de_movimientos_app.accdb[Sucursal],Franquicias_Semanal!$B$5,Tabla_Registro_de_movimientos_app.accdb[Detalle de movimiento],Franquicias_Semanal!A39,Tabla_Registro_de_movimientos_app.accdb[Fecha],"&gt;"&amp;Franquicias_Semanal!$B$4,Tabla_Registro_de_movimientos_app.accdb[Fecha],"&lt;="&amp;Franquicias_Semanal!$C$4)</f>
        <v>0</v>
      </c>
      <c r="C39" s="21" t="e">
        <f t="shared" si="1"/>
        <v>#DIV/0!</v>
      </c>
    </row>
    <row r="40" spans="1:3" x14ac:dyDescent="0.25">
      <c r="A40" s="27" t="s">
        <v>71</v>
      </c>
      <c r="B40" s="169">
        <f>SUMIFS(Tabla_Registro_de_movimientos_app.accdb[Importe_Gasto],Tabla_Registro_de_movimientos_app.accdb[Sucursal],Franquicias_Semanal!$B$5,Tabla_Registro_de_movimientos_app.accdb[Detalle de movimiento],Franquicias_Semanal!A40,Tabla_Registro_de_movimientos_app.accdb[Fecha],"&gt;"&amp;Franquicias_Semanal!$B$4,Tabla_Registro_de_movimientos_app.accdb[Fecha],"&lt;="&amp;Franquicias_Semanal!$C$4)</f>
        <v>0</v>
      </c>
      <c r="C40" s="21" t="e">
        <f t="shared" si="1"/>
        <v>#DIV/0!</v>
      </c>
    </row>
    <row r="41" spans="1:3" x14ac:dyDescent="0.25">
      <c r="A41" s="27" t="s">
        <v>72</v>
      </c>
      <c r="B41" s="169">
        <f>SUMIFS(Tabla_Registro_de_movimientos_app.accdb[Importe_Gasto],Tabla_Registro_de_movimientos_app.accdb[Sucursal],Franquicias_Semanal!$B$5,Tabla_Registro_de_movimientos_app.accdb[Detalle de movimiento],Franquicias_Semanal!A41,Tabla_Registro_de_movimientos_app.accdb[Fecha],"&gt;"&amp;Franquicias_Semanal!$B$4,Tabla_Registro_de_movimientos_app.accdb[Fecha],"&lt;="&amp;Franquicias_Semanal!$C$4)</f>
        <v>0</v>
      </c>
      <c r="C41" s="21" t="e">
        <f t="shared" si="1"/>
        <v>#DIV/0!</v>
      </c>
    </row>
    <row r="42" spans="1:3" x14ac:dyDescent="0.25">
      <c r="A42" s="27" t="s">
        <v>73</v>
      </c>
      <c r="B42" s="169">
        <f>SUMIFS(Tabla_Registro_de_movimientos_app.accdb[Importe_Gasto],Tabla_Registro_de_movimientos_app.accdb[Sucursal],Franquicias_Semanal!$B$5,Tabla_Registro_de_movimientos_app.accdb[Detalle de movimiento],Franquicias_Semanal!A42,Tabla_Registro_de_movimientos_app.accdb[Fecha],"&gt;"&amp;Franquicias_Semanal!$B$4,Tabla_Registro_de_movimientos_app.accdb[Fecha],"&lt;="&amp;Franquicias_Semanal!$C$4)</f>
        <v>0</v>
      </c>
      <c r="C42" s="21" t="e">
        <f t="shared" si="1"/>
        <v>#DIV/0!</v>
      </c>
    </row>
    <row r="43" spans="1:3" x14ac:dyDescent="0.25">
      <c r="A43" s="27" t="s">
        <v>74</v>
      </c>
      <c r="B43" s="169">
        <f>SUMIFS(Tabla_Registro_de_movimientos_app.accdb[Importe_Gasto],Tabla_Registro_de_movimientos_app.accdb[Sucursal],Franquicias_Semanal!$B$5,Tabla_Registro_de_movimientos_app.accdb[Detalle de movimiento],Franquicias_Semanal!A43,Tabla_Registro_de_movimientos_app.accdb[Fecha],"&gt;"&amp;Franquicias_Semanal!$B$4,Tabla_Registro_de_movimientos_app.accdb[Fecha],"&lt;="&amp;Franquicias_Semanal!$C$4)</f>
        <v>0</v>
      </c>
      <c r="C43" s="21" t="e">
        <f t="shared" si="1"/>
        <v>#DIV/0!</v>
      </c>
    </row>
    <row r="44" spans="1:3" x14ac:dyDescent="0.25">
      <c r="A44" s="28" t="s">
        <v>75</v>
      </c>
      <c r="B44" s="172">
        <f>SUM(B31:B43)</f>
        <v>0</v>
      </c>
      <c r="C44" s="24" t="e">
        <f>B44/B9</f>
        <v>#DIV/0!</v>
      </c>
    </row>
    <row r="45" spans="1:3" x14ac:dyDescent="0.25">
      <c r="A45" s="27"/>
      <c r="B45" s="12"/>
      <c r="C45" s="13"/>
    </row>
    <row r="46" spans="1:3" x14ac:dyDescent="0.25">
      <c r="A46" s="54" t="s">
        <v>95</v>
      </c>
      <c r="B46" s="55">
        <f>B9-B28-B44</f>
        <v>0</v>
      </c>
      <c r="C46" s="56" t="e">
        <f>B46/B9</f>
        <v>#DIV/0!</v>
      </c>
    </row>
    <row r="47" spans="1:3" x14ac:dyDescent="0.25">
      <c r="A47" s="12"/>
      <c r="B47" s="12"/>
      <c r="C47" s="13"/>
    </row>
    <row r="48" spans="1:3" x14ac:dyDescent="0.25">
      <c r="A48" s="11" t="s">
        <v>96</v>
      </c>
      <c r="B48" s="12"/>
      <c r="C48" s="13"/>
    </row>
    <row r="49" spans="1:3" x14ac:dyDescent="0.25">
      <c r="A49" s="27" t="s">
        <v>77</v>
      </c>
      <c r="B49" s="20" t="e">
        <f>Matriz!C52*Franquicias_Semanal!C9</f>
        <v>#DIV/0!</v>
      </c>
      <c r="C49" s="21" t="e">
        <f>B49/$B$51</f>
        <v>#DIV/0!</v>
      </c>
    </row>
    <row r="50" spans="1:3" x14ac:dyDescent="0.25">
      <c r="A50" s="27" t="s">
        <v>78</v>
      </c>
      <c r="B50" s="12"/>
      <c r="C50" s="21" t="e">
        <f>B50/$B$51</f>
        <v>#DIV/0!</v>
      </c>
    </row>
    <row r="51" spans="1:3" x14ac:dyDescent="0.25">
      <c r="A51" s="28" t="s">
        <v>79</v>
      </c>
      <c r="B51" s="23" t="e">
        <f>SUM(B49:B50)</f>
        <v>#DIV/0!</v>
      </c>
      <c r="C51" s="116" t="e">
        <f>B51/B9</f>
        <v>#DIV/0!</v>
      </c>
    </row>
    <row r="52" spans="1:3" x14ac:dyDescent="0.25">
      <c r="A52" s="12"/>
      <c r="B52" s="12"/>
      <c r="C52" s="13"/>
    </row>
    <row r="53" spans="1:3" x14ac:dyDescent="0.25">
      <c r="A53" s="31" t="s">
        <v>80</v>
      </c>
      <c r="B53" s="57" t="e">
        <f>B46-B51</f>
        <v>#DIV/0!</v>
      </c>
      <c r="C53" s="47" t="e">
        <f>B53/B9</f>
        <v>#DIV/0!</v>
      </c>
    </row>
    <row r="54" spans="1:3" x14ac:dyDescent="0.25">
      <c r="A54" s="12"/>
      <c r="B54" s="12"/>
      <c r="C54" s="13"/>
    </row>
    <row r="55" spans="1:3" x14ac:dyDescent="0.25">
      <c r="A55" s="15" t="s">
        <v>81</v>
      </c>
      <c r="B55" s="12"/>
      <c r="C55" s="13"/>
    </row>
    <row r="56" spans="1:3" x14ac:dyDescent="0.25">
      <c r="A56" s="12"/>
      <c r="B56" s="12">
        <v>0</v>
      </c>
      <c r="C56" s="13"/>
    </row>
    <row r="57" spans="1:3" x14ac:dyDescent="0.25">
      <c r="A57" s="12"/>
      <c r="B57" s="12">
        <v>0</v>
      </c>
      <c r="C57" s="13"/>
    </row>
    <row r="58" spans="1:3" x14ac:dyDescent="0.25">
      <c r="A58" s="12"/>
      <c r="B58" s="12">
        <v>0</v>
      </c>
      <c r="C58" s="13"/>
    </row>
    <row r="59" spans="1:3" x14ac:dyDescent="0.25">
      <c r="A59" s="27"/>
      <c r="B59" s="12">
        <v>0</v>
      </c>
      <c r="C59" s="13"/>
    </row>
    <row r="60" spans="1:3" x14ac:dyDescent="0.25">
      <c r="A60" s="27"/>
      <c r="B60" s="12">
        <v>0</v>
      </c>
      <c r="C60" s="13"/>
    </row>
    <row r="61" spans="1:3" x14ac:dyDescent="0.25">
      <c r="A61" s="27"/>
      <c r="B61" s="12">
        <v>0</v>
      </c>
      <c r="C61" s="13"/>
    </row>
    <row r="62" spans="1:3" x14ac:dyDescent="0.25">
      <c r="A62" s="27"/>
      <c r="B62" s="12">
        <v>0</v>
      </c>
      <c r="C62" s="13"/>
    </row>
    <row r="63" spans="1:3" x14ac:dyDescent="0.25">
      <c r="A63" s="34" t="s">
        <v>82</v>
      </c>
      <c r="B63" s="34">
        <f>SUM(B56:B62)</f>
        <v>0</v>
      </c>
      <c r="C63" s="13"/>
    </row>
  </sheetData>
  <mergeCells count="1">
    <mergeCell ref="B5:C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H67"/>
  <sheetViews>
    <sheetView workbookViewId="0">
      <selection activeCell="B49" sqref="B49"/>
    </sheetView>
  </sheetViews>
  <sheetFormatPr baseColWidth="10" defaultRowHeight="15" x14ac:dyDescent="0.25"/>
  <cols>
    <col min="1" max="1" width="29.5703125" bestFit="1" customWidth="1"/>
  </cols>
  <sheetData>
    <row r="1" spans="1:3" x14ac:dyDescent="0.25">
      <c r="A1" s="11" t="s">
        <v>31</v>
      </c>
      <c r="B1" s="87"/>
      <c r="C1" s="88"/>
    </row>
    <row r="2" spans="1:3" x14ac:dyDescent="0.25">
      <c r="A2" s="11" t="s">
        <v>32</v>
      </c>
      <c r="B2" s="87"/>
      <c r="C2" s="88"/>
    </row>
    <row r="3" spans="1:3" x14ac:dyDescent="0.25">
      <c r="A3" s="101" t="s">
        <v>137</v>
      </c>
      <c r="B3" s="87"/>
      <c r="C3" s="88"/>
    </row>
    <row r="4" spans="1:3" x14ac:dyDescent="0.25">
      <c r="A4" s="87"/>
      <c r="B4" s="183">
        <v>45070</v>
      </c>
      <c r="C4" s="183">
        <v>45077</v>
      </c>
    </row>
    <row r="5" spans="1:3" x14ac:dyDescent="0.25">
      <c r="A5" s="102"/>
      <c r="B5" s="226" t="s">
        <v>153</v>
      </c>
      <c r="C5" s="226"/>
    </row>
    <row r="6" spans="1:3" x14ac:dyDescent="0.25">
      <c r="A6" s="51" t="s">
        <v>138</v>
      </c>
      <c r="B6" s="16" t="s">
        <v>36</v>
      </c>
      <c r="C6" s="16" t="s">
        <v>37</v>
      </c>
    </row>
    <row r="7" spans="1:3" x14ac:dyDescent="0.25">
      <c r="A7" s="27" t="s">
        <v>139</v>
      </c>
      <c r="B7" s="91">
        <f>SUMIFS(Tabla_Registro_de_movimientos_app.accdb[Importe_Gasto],Tabla_Registro_de_movimientos_app.accdb[Sucursal],Matriz!$B$5,Tabla_Registro_de_movimientos_app.accdb[Detalle de movimiento],Matriz!A7,Tabla_Registro_de_movimientos_app.accdb[Fecha],"&gt;"&amp;Matriz!$B$4,Tabla_Registro_de_movimientos_app.accdb[Fecha],"&lt;="&amp;Matriz!$C$4)</f>
        <v>0</v>
      </c>
      <c r="C7" s="103" t="e">
        <f>B7/B$46</f>
        <v>#DIV/0!</v>
      </c>
    </row>
    <row r="8" spans="1:3" x14ac:dyDescent="0.25">
      <c r="A8" s="27" t="s">
        <v>26</v>
      </c>
      <c r="B8" s="91">
        <f>SUMIFS(Tabla_Registro_de_movimientos_app.accdb[Importe_Gasto],Tabla_Registro_de_movimientos_app.accdb[Sucursal],Matriz!$B$5,Tabla_Registro_de_movimientos_app.accdb[Detalle de movimiento],Matriz!A8,Tabla_Registro_de_movimientos_app.accdb[Fecha],"&gt;"&amp;Matriz!$B$4,Tabla_Registro_de_movimientos_app.accdb[Fecha],"&lt;="&amp;Matriz!$C$4)</f>
        <v>0</v>
      </c>
      <c r="C8" s="103" t="e">
        <f t="shared" ref="C8:C25" si="0">B8/B$46</f>
        <v>#DIV/0!</v>
      </c>
    </row>
    <row r="9" spans="1:3" x14ac:dyDescent="0.25">
      <c r="A9" s="27" t="s">
        <v>41</v>
      </c>
      <c r="B9" s="91">
        <f>SUMIFS(Tabla_Registro_de_movimientos_app.accdb[Importe_Gasto],Tabla_Registro_de_movimientos_app.accdb[Sucursal],Matriz!$B$5,Tabla_Registro_de_movimientos_app.accdb[Detalle de movimiento],Matriz!A9,Tabla_Registro_de_movimientos_app.accdb[Fecha],"&gt;"&amp;Matriz!$B$4,Tabla_Registro_de_movimientos_app.accdb[Fecha],"&lt;="&amp;Matriz!$C$4)</f>
        <v>0</v>
      </c>
      <c r="C9" s="103" t="e">
        <f t="shared" si="0"/>
        <v>#DIV/0!</v>
      </c>
    </row>
    <row r="10" spans="1:3" x14ac:dyDescent="0.25">
      <c r="A10" s="27" t="s">
        <v>42</v>
      </c>
      <c r="B10" s="91">
        <f>SUMIFS(Tabla_Registro_de_movimientos_app.accdb[Importe_Gasto],Tabla_Registro_de_movimientos_app.accdb[Sucursal],Matriz!$B$5,Tabla_Registro_de_movimientos_app.accdb[Detalle de movimiento],Matriz!A10,Tabla_Registro_de_movimientos_app.accdb[Fecha],"&gt;"&amp;Matriz!$B$4,Tabla_Registro_de_movimientos_app.accdb[Fecha],"&lt;="&amp;Matriz!$C$4)</f>
        <v>0</v>
      </c>
      <c r="C10" s="103" t="e">
        <f t="shared" si="0"/>
        <v>#DIV/0!</v>
      </c>
    </row>
    <row r="11" spans="1:3" x14ac:dyDescent="0.25">
      <c r="A11" s="27" t="s">
        <v>28</v>
      </c>
      <c r="B11" s="91">
        <f>SUMIFS(Tabla_Registro_de_movimientos_app.accdb[Importe_Gasto],Tabla_Registro_de_movimientos_app.accdb[Sucursal],Matriz!$B$5,Tabla_Registro_de_movimientos_app.accdb[Detalle de movimiento],Matriz!A11,Tabla_Registro_de_movimientos_app.accdb[Fecha],"&gt;"&amp;Matriz!$B$4,Tabla_Registro_de_movimientos_app.accdb[Fecha],"&lt;="&amp;Matriz!$C$4)</f>
        <v>0</v>
      </c>
      <c r="C11" s="103" t="e">
        <f t="shared" si="0"/>
        <v>#DIV/0!</v>
      </c>
    </row>
    <row r="12" spans="1:3" x14ac:dyDescent="0.25">
      <c r="A12" s="27" t="s">
        <v>12</v>
      </c>
      <c r="B12" s="91">
        <f>SUMIFS(Tabla_Registro_de_movimientos_app.accdb[Importe_Gasto],Tabla_Registro_de_movimientos_app.accdb[Sucursal],Matriz!$B$5,Tabla_Registro_de_movimientos_app.accdb[Detalle de movimiento],Matriz!A12,Tabla_Registro_de_movimientos_app.accdb[Fecha],"&gt;"&amp;Matriz!$B$4,Tabla_Registro_de_movimientos_app.accdb[Fecha],"&lt;="&amp;Matriz!$C$4)</f>
        <v>0</v>
      </c>
      <c r="C12" s="103" t="e">
        <f t="shared" si="0"/>
        <v>#DIV/0!</v>
      </c>
    </row>
    <row r="13" spans="1:3" x14ac:dyDescent="0.25">
      <c r="A13" s="27" t="s">
        <v>52</v>
      </c>
      <c r="B13" s="91">
        <f>SUMIFS(Tabla_Registro_de_movimientos_app.accdb[Importe_Gasto],Tabla_Registro_de_movimientos_app.accdb[Sucursal],Matriz!$B$5,Tabla_Registro_de_movimientos_app.accdb[Detalle de movimiento],Matriz!A13,Tabla_Registro_de_movimientos_app.accdb[Fecha],"&gt;"&amp;Matriz!$B$4,Tabla_Registro_de_movimientos_app.accdb[Fecha],"&lt;="&amp;Matriz!$C$4)</f>
        <v>0</v>
      </c>
      <c r="C13" s="103" t="e">
        <f t="shared" si="0"/>
        <v>#DIV/0!</v>
      </c>
    </row>
    <row r="14" spans="1:3" x14ac:dyDescent="0.25">
      <c r="A14" s="27" t="s">
        <v>43</v>
      </c>
      <c r="B14" s="91">
        <f>SUMIFS(Tabla_Registro_de_movimientos_app.accdb[Importe_Gasto],Tabla_Registro_de_movimientos_app.accdb[Sucursal],Matriz!$B$5,Tabla_Registro_de_movimientos_app.accdb[Detalle de movimiento],Matriz!A14,Tabla_Registro_de_movimientos_app.accdb[Fecha],"&gt;"&amp;Matriz!$B$4,Tabla_Registro_de_movimientos_app.accdb[Fecha],"&lt;="&amp;Matriz!$C$4)</f>
        <v>0</v>
      </c>
      <c r="C14" s="103" t="e">
        <f t="shared" si="0"/>
        <v>#DIV/0!</v>
      </c>
    </row>
    <row r="15" spans="1:3" x14ac:dyDescent="0.25">
      <c r="A15" s="27" t="s">
        <v>106</v>
      </c>
      <c r="B15" s="91">
        <f>SUMIFS(Tabla_Registro_de_movimientos_app.accdb[Importe_Gasto],Tabla_Registro_de_movimientos_app.accdb[Sucursal],Matriz!$B$5,Tabla_Registro_de_movimientos_app.accdb[Detalle de movimiento],Matriz!A15,Tabla_Registro_de_movimientos_app.accdb[Fecha],"&gt;"&amp;Matriz!$B$4,Tabla_Registro_de_movimientos_app.accdb[Fecha],"&lt;="&amp;Matriz!$C$4)</f>
        <v>0</v>
      </c>
      <c r="C15" s="103" t="e">
        <f t="shared" si="0"/>
        <v>#DIV/0!</v>
      </c>
    </row>
    <row r="16" spans="1:3" x14ac:dyDescent="0.25">
      <c r="A16" s="27" t="s">
        <v>140</v>
      </c>
      <c r="B16" s="91">
        <f>SUMIFS(Tabla_Registro_de_movimientos_app.accdb[Importe_Gasto],Tabla_Registro_de_movimientos_app.accdb[Sucursal],Matriz!$B$5,Tabla_Registro_de_movimientos_app.accdb[Detalle de movimiento],Matriz!A16,Tabla_Registro_de_movimientos_app.accdb[Fecha],"&gt;"&amp;Matriz!$B$4,Tabla_Registro_de_movimientos_app.accdb[Fecha],"&lt;="&amp;Matriz!$C$4)</f>
        <v>0</v>
      </c>
      <c r="C16" s="103" t="e">
        <f t="shared" si="0"/>
        <v>#DIV/0!</v>
      </c>
    </row>
    <row r="17" spans="1:3" x14ac:dyDescent="0.25">
      <c r="A17" s="27" t="s">
        <v>44</v>
      </c>
      <c r="B17" s="91">
        <f>SUMIFS(Tabla_Registro_de_movimientos_app.accdb[Importe_Gasto],Tabla_Registro_de_movimientos_app.accdb[Sucursal],Matriz!$B$5,Tabla_Registro_de_movimientos_app.accdb[Detalle de movimiento],Matriz!A17,Tabla_Registro_de_movimientos_app.accdb[Fecha],"&gt;"&amp;Matriz!$B$4,Tabla_Registro_de_movimientos_app.accdb[Fecha],"&lt;="&amp;Matriz!$C$4)</f>
        <v>0</v>
      </c>
      <c r="C17" s="103" t="e">
        <f t="shared" si="0"/>
        <v>#DIV/0!</v>
      </c>
    </row>
    <row r="18" spans="1:3" x14ac:dyDescent="0.25">
      <c r="A18" s="27" t="s">
        <v>45</v>
      </c>
      <c r="B18" s="91">
        <f>SUMIFS(Tabla_Registro_de_movimientos_app.accdb[Importe_Gasto],Tabla_Registro_de_movimientos_app.accdb[Sucursal],Matriz!$B$5,Tabla_Registro_de_movimientos_app.accdb[Detalle de movimiento],Matriz!A18,Tabla_Registro_de_movimientos_app.accdb[Fecha],"&gt;"&amp;Matriz!$B$4,Tabla_Registro_de_movimientos_app.accdb[Fecha],"&lt;="&amp;Matriz!$C$4)</f>
        <v>0</v>
      </c>
      <c r="C18" s="103" t="e">
        <f t="shared" si="0"/>
        <v>#DIV/0!</v>
      </c>
    </row>
    <row r="19" spans="1:3" x14ac:dyDescent="0.25">
      <c r="A19" s="27" t="s">
        <v>46</v>
      </c>
      <c r="B19" s="91">
        <f>SUMIFS(Tabla_Registro_de_movimientos_app.accdb[Importe_Gasto],Tabla_Registro_de_movimientos_app.accdb[Sucursal],Matriz!$B$5,Tabla_Registro_de_movimientos_app.accdb[Detalle de movimiento],Matriz!A19,Tabla_Registro_de_movimientos_app.accdb[Fecha],"&gt;"&amp;Matriz!$B$4,Tabla_Registro_de_movimientos_app.accdb[Fecha],"&lt;="&amp;Matriz!$C$4)</f>
        <v>0</v>
      </c>
      <c r="C19" s="103" t="e">
        <f t="shared" si="0"/>
        <v>#DIV/0!</v>
      </c>
    </row>
    <row r="20" spans="1:3" x14ac:dyDescent="0.25">
      <c r="A20" s="27" t="s">
        <v>134</v>
      </c>
      <c r="B20" s="91">
        <f>SUMIFS(Tabla_Registro_de_movimientos_app.accdb[Importe_Gasto],Tabla_Registro_de_movimientos_app.accdb[Sucursal],Matriz!$B$5,Tabla_Registro_de_movimientos_app.accdb[Detalle de movimiento],Matriz!A20,Tabla_Registro_de_movimientos_app.accdb[Fecha],"&gt;"&amp;Matriz!$B$4,Tabla_Registro_de_movimientos_app.accdb[Fecha],"&lt;="&amp;Matriz!$C$4)</f>
        <v>0</v>
      </c>
      <c r="C20" s="103" t="e">
        <f t="shared" si="0"/>
        <v>#DIV/0!</v>
      </c>
    </row>
    <row r="21" spans="1:3" x14ac:dyDescent="0.25">
      <c r="A21" s="27" t="s">
        <v>93</v>
      </c>
      <c r="B21" s="91">
        <f>SUMIFS(Tabla_Registro_de_movimientos_app.accdb[Importe_Gasto],Tabla_Registro_de_movimientos_app.accdb[Sucursal],Matriz!$B$5,Tabla_Registro_de_movimientos_app.accdb[Detalle de movimiento],Matriz!A21,Tabla_Registro_de_movimientos_app.accdb[Fecha],"&gt;"&amp;Matriz!$B$4,Tabla_Registro_de_movimientos_app.accdb[Fecha],"&lt;="&amp;Matriz!$C$4)</f>
        <v>0</v>
      </c>
      <c r="C21" s="103" t="e">
        <f t="shared" si="0"/>
        <v>#DIV/0!</v>
      </c>
    </row>
    <row r="22" spans="1:3" x14ac:dyDescent="0.25">
      <c r="A22" s="27" t="s">
        <v>135</v>
      </c>
      <c r="B22" s="91">
        <f>SUMIFS(Tabla_Registro_de_movimientos_app.accdb[Importe_Gasto],Tabla_Registro_de_movimientos_app.accdb[Sucursal],Matriz!$B$5,Tabla_Registro_de_movimientos_app.accdb[Detalle de movimiento],Matriz!A22,Tabla_Registro_de_movimientos_app.accdb[Fecha],"&gt;"&amp;Matriz!$B$4,Tabla_Registro_de_movimientos_app.accdb[Fecha],"&lt;="&amp;Matriz!$C$4)</f>
        <v>0</v>
      </c>
      <c r="C22" s="103" t="e">
        <f t="shared" si="0"/>
        <v>#DIV/0!</v>
      </c>
    </row>
    <row r="23" spans="1:3" x14ac:dyDescent="0.25">
      <c r="A23" s="27" t="s">
        <v>136</v>
      </c>
      <c r="B23" s="91">
        <f>SUMIFS(Tabla_Registro_de_movimientos_app.accdb[Importe_Gasto],Tabla_Registro_de_movimientos_app.accdb[Sucursal],Matriz!$B$5,Tabla_Registro_de_movimientos_app.accdb[Detalle de movimiento],Matriz!A23,Tabla_Registro_de_movimientos_app.accdb[Fecha],"&gt;"&amp;Matriz!$B$4,Tabla_Registro_de_movimientos_app.accdb[Fecha],"&lt;="&amp;Matriz!$C$4)</f>
        <v>0</v>
      </c>
      <c r="C23" s="103" t="e">
        <f t="shared" si="0"/>
        <v>#DIV/0!</v>
      </c>
    </row>
    <row r="24" spans="1:3" x14ac:dyDescent="0.25">
      <c r="A24" s="27" t="s">
        <v>50</v>
      </c>
      <c r="B24" s="91">
        <f>SUMIFS(Tabla_Registro_de_movimientos_app.accdb[Importe_Gasto],Tabla_Registro_de_movimientos_app.accdb[Sucursal],Matriz!$B$5,Tabla_Registro_de_movimientos_app.accdb[Detalle de movimiento],Matriz!A24,Tabla_Registro_de_movimientos_app.accdb[Fecha],"&gt;"&amp;Matriz!$B$4,Tabla_Registro_de_movimientos_app.accdb[Fecha],"&lt;="&amp;Matriz!$C$4)</f>
        <v>0</v>
      </c>
      <c r="C24" s="103" t="e">
        <f t="shared" si="0"/>
        <v>#DIV/0!</v>
      </c>
    </row>
    <row r="25" spans="1:3" x14ac:dyDescent="0.25">
      <c r="A25" s="27" t="s">
        <v>107</v>
      </c>
      <c r="B25" s="91">
        <f>SUMIFS(Tabla_Registro_de_movimientos_app.accdb[Importe_Gasto],Tabla_Registro_de_movimientos_app.accdb[Sucursal],Matriz!$B$5,Tabla_Registro_de_movimientos_app.accdb[Detalle de movimiento],Matriz!A25,Tabla_Registro_de_movimientos_app.accdb[Fecha],"&gt;"&amp;Matriz!$B$4,Tabla_Registro_de_movimientos_app.accdb[Fecha],"&lt;="&amp;Matriz!$C$4)</f>
        <v>0</v>
      </c>
      <c r="C25" s="103" t="e">
        <f t="shared" si="0"/>
        <v>#DIV/0!</v>
      </c>
    </row>
    <row r="26" spans="1:3" x14ac:dyDescent="0.25">
      <c r="A26" s="28" t="s">
        <v>141</v>
      </c>
      <c r="B26" s="95">
        <f>SUM(B7:B25)</f>
        <v>0</v>
      </c>
      <c r="C26" s="104" t="e">
        <f>SUM(C7:C25)</f>
        <v>#DIV/0!</v>
      </c>
    </row>
    <row r="27" spans="1:3" x14ac:dyDescent="0.25">
      <c r="A27" s="87"/>
      <c r="B27" s="91"/>
      <c r="C27" s="105"/>
    </row>
    <row r="28" spans="1:3" x14ac:dyDescent="0.25">
      <c r="A28" s="11" t="s">
        <v>62</v>
      </c>
      <c r="B28" s="91"/>
      <c r="C28" s="105"/>
    </row>
    <row r="29" spans="1:3" x14ac:dyDescent="0.25">
      <c r="A29" s="27" t="s">
        <v>85</v>
      </c>
      <c r="B29" s="91">
        <f>SUMIFS(Tabla_Registro_de_movimientos_app.accdb[Importe_Gasto],Tabla_Registro_de_movimientos_app.accdb[Sucursal],Matriz!$B$5,Tabla_Registro_de_movimientos_app.accdb[Detalle de movimiento],Matriz!A29,Tabla_Registro_de_movimientos_app.accdb[Fecha],"&gt;"&amp;Matriz!$B$4,Tabla_Registro_de_movimientos_app.accdb[Fecha],"&lt;="&amp;Matriz!$C$4)</f>
        <v>0</v>
      </c>
      <c r="C29" s="105" t="e">
        <f t="shared" ref="C29:C43" si="1">B29/B$46</f>
        <v>#DIV/0!</v>
      </c>
    </row>
    <row r="30" spans="1:3" x14ac:dyDescent="0.25">
      <c r="A30" s="27" t="s">
        <v>63</v>
      </c>
      <c r="B30" s="91">
        <f>SUMIFS(Tabla_Registro_de_movimientos_app.accdb[Importe_Gasto],Tabla_Registro_de_movimientos_app.accdb[Sucursal],Matriz!$B$5,Tabla_Registro_de_movimientos_app.accdb[Detalle de movimiento],Matriz!A30,Tabla_Registro_de_movimientos_app.accdb[Fecha],"&gt;"&amp;Matriz!$B$4,Tabla_Registro_de_movimientos_app.accdb[Fecha],"&lt;="&amp;Matriz!$C$4)</f>
        <v>0</v>
      </c>
      <c r="C30" s="105" t="e">
        <f t="shared" si="1"/>
        <v>#DIV/0!</v>
      </c>
    </row>
    <row r="31" spans="1:3" x14ac:dyDescent="0.25">
      <c r="A31" s="27" t="s">
        <v>64</v>
      </c>
      <c r="B31" s="91">
        <f>SUMIFS(Tabla_Registro_de_movimientos_app.accdb[Importe_Gasto],Tabla_Registro_de_movimientos_app.accdb[Sucursal],Matriz!$B$5,Tabla_Registro_de_movimientos_app.accdb[Detalle de movimiento],Matriz!A31,Tabla_Registro_de_movimientos_app.accdb[Fecha],"&gt;"&amp;Matriz!$B$4,Tabla_Registro_de_movimientos_app.accdb[Fecha],"&lt;="&amp;Matriz!$C$4)</f>
        <v>0</v>
      </c>
      <c r="C31" s="105" t="e">
        <f t="shared" si="1"/>
        <v>#DIV/0!</v>
      </c>
    </row>
    <row r="32" spans="1:3" x14ac:dyDescent="0.25">
      <c r="A32" s="27" t="s">
        <v>65</v>
      </c>
      <c r="B32" s="91">
        <f>SUMIFS(Tabla_Registro_de_movimientos_app.accdb[Importe_Gasto],Tabla_Registro_de_movimientos_app.accdb[Sucursal],Matriz!$B$5,Tabla_Registro_de_movimientos_app.accdb[Detalle de movimiento],Matriz!A32,Tabla_Registro_de_movimientos_app.accdb[Fecha],"&gt;"&amp;Matriz!$B$4,Tabla_Registro_de_movimientos_app.accdb[Fecha],"&lt;="&amp;Matriz!$C$4)</f>
        <v>0</v>
      </c>
      <c r="C32" s="105" t="e">
        <f t="shared" si="1"/>
        <v>#DIV/0!</v>
      </c>
    </row>
    <row r="33" spans="1:3" x14ac:dyDescent="0.25">
      <c r="A33" s="27" t="s">
        <v>66</v>
      </c>
      <c r="B33" s="91">
        <f>SUMIFS(Tabla_Registro_de_movimientos_app.accdb[Importe_Gasto],Tabla_Registro_de_movimientos_app.accdb[Sucursal],Matriz!$B$5,Tabla_Registro_de_movimientos_app.accdb[Detalle de movimiento],Matriz!A33,Tabla_Registro_de_movimientos_app.accdb[Fecha],"&gt;"&amp;Matriz!$B$4,Tabla_Registro_de_movimientos_app.accdb[Fecha],"&lt;="&amp;Matriz!$C$4)</f>
        <v>0</v>
      </c>
      <c r="C33" s="105" t="e">
        <f t="shared" si="1"/>
        <v>#DIV/0!</v>
      </c>
    </row>
    <row r="34" spans="1:3" x14ac:dyDescent="0.25">
      <c r="A34" s="27" t="s">
        <v>67</v>
      </c>
      <c r="B34" s="91">
        <f>SUMIFS(Tabla_Registro_de_movimientos_app.accdb[Importe_Gasto],Tabla_Registro_de_movimientos_app.accdb[Sucursal],Matriz!$B$5,Tabla_Registro_de_movimientos_app.accdb[Detalle de movimiento],Matriz!A34,Tabla_Registro_de_movimientos_app.accdb[Fecha],"&gt;"&amp;Matriz!$B$4,Tabla_Registro_de_movimientos_app.accdb[Fecha],"&lt;="&amp;Matriz!$C$4)</f>
        <v>0</v>
      </c>
      <c r="C34" s="105" t="e">
        <f t="shared" si="1"/>
        <v>#DIV/0!</v>
      </c>
    </row>
    <row r="35" spans="1:3" x14ac:dyDescent="0.25">
      <c r="A35" s="27" t="s">
        <v>68</v>
      </c>
      <c r="B35" s="91">
        <f>SUMIFS(Tabla_Registro_de_movimientos_app.accdb[Importe_Gasto],Tabla_Registro_de_movimientos_app.accdb[Sucursal],Matriz!$B$5,Tabla_Registro_de_movimientos_app.accdb[Detalle de movimiento],Matriz!A35,Tabla_Registro_de_movimientos_app.accdb[Fecha],"&gt;"&amp;Matriz!$B$4,Tabla_Registro_de_movimientos_app.accdb[Fecha],"&lt;="&amp;Matriz!$C$4)</f>
        <v>0</v>
      </c>
      <c r="C35" s="105" t="e">
        <f t="shared" si="1"/>
        <v>#DIV/0!</v>
      </c>
    </row>
    <row r="36" spans="1:3" x14ac:dyDescent="0.25">
      <c r="A36" s="27" t="s">
        <v>142</v>
      </c>
      <c r="B36" s="91">
        <f>SUMIFS(Tabla_Registro_de_movimientos_app.accdb[Importe_Gasto],Tabla_Registro_de_movimientos_app.accdb[Sucursal],Matriz!$B$5,Tabla_Registro_de_movimientos_app.accdb[Detalle de movimiento],Matriz!A36,Tabla_Registro_de_movimientos_app.accdb[Fecha],"&gt;"&amp;Matriz!$B$4,Tabla_Registro_de_movimientos_app.accdb[Fecha],"&lt;="&amp;Matriz!$C$4)</f>
        <v>0</v>
      </c>
      <c r="C36" s="105" t="e">
        <f t="shared" si="1"/>
        <v>#DIV/0!</v>
      </c>
    </row>
    <row r="37" spans="1:3" x14ac:dyDescent="0.25">
      <c r="A37" s="27" t="s">
        <v>70</v>
      </c>
      <c r="B37" s="91">
        <f>SUMIFS(Tabla_Registro_de_movimientos_app.accdb[Importe_Gasto],Tabla_Registro_de_movimientos_app.accdb[Sucursal],Matriz!$B$5,Tabla_Registro_de_movimientos_app.accdb[Detalle de movimiento],Matriz!A37,Tabla_Registro_de_movimientos_app.accdb[Fecha],"&gt;"&amp;Matriz!$B$4,Tabla_Registro_de_movimientos_app.accdb[Fecha],"&lt;="&amp;Matriz!$C$4)</f>
        <v>0</v>
      </c>
      <c r="C37" s="105" t="e">
        <f t="shared" si="1"/>
        <v>#DIV/0!</v>
      </c>
    </row>
    <row r="38" spans="1:3" x14ac:dyDescent="0.25">
      <c r="A38" s="27" t="s">
        <v>71</v>
      </c>
      <c r="B38" s="91">
        <f>SUMIFS(Tabla_Registro_de_movimientos_app.accdb[Importe_Gasto],Tabla_Registro_de_movimientos_app.accdb[Sucursal],Matriz!$B$5,Tabla_Registro_de_movimientos_app.accdb[Detalle de movimiento],Matriz!A38,Tabla_Registro_de_movimientos_app.accdb[Fecha],"&gt;"&amp;Matriz!$B$4,Tabla_Registro_de_movimientos_app.accdb[Fecha],"&lt;="&amp;Matriz!$C$4)</f>
        <v>0</v>
      </c>
      <c r="C38" s="105" t="e">
        <f t="shared" si="1"/>
        <v>#DIV/0!</v>
      </c>
    </row>
    <row r="39" spans="1:3" x14ac:dyDescent="0.25">
      <c r="A39" s="27" t="s">
        <v>73</v>
      </c>
      <c r="B39" s="91">
        <f>SUMIFS(Tabla_Registro_de_movimientos_app.accdb[Importe_Gasto],Tabla_Registro_de_movimientos_app.accdb[Sucursal],Matriz!$B$5,Tabla_Registro_de_movimientos_app.accdb[Detalle de movimiento],Matriz!A39,Tabla_Registro_de_movimientos_app.accdb[Fecha],"&gt;"&amp;Matriz!$B$4,Tabla_Registro_de_movimientos_app.accdb[Fecha],"&lt;="&amp;Matriz!$C$4)</f>
        <v>0</v>
      </c>
      <c r="C39" s="105" t="e">
        <f t="shared" si="1"/>
        <v>#DIV/0!</v>
      </c>
    </row>
    <row r="40" spans="1:3" x14ac:dyDescent="0.25">
      <c r="A40" s="27" t="s">
        <v>74</v>
      </c>
      <c r="B40" s="91">
        <f>SUMIFS(Tabla_Registro_de_movimientos_app.accdb[Importe_Gasto],Tabla_Registro_de_movimientos_app.accdb[Sucursal],Matriz!$B$5,Tabla_Registro_de_movimientos_app.accdb[Detalle de movimiento],Matriz!A40,Tabla_Registro_de_movimientos_app.accdb[Fecha],"&gt;"&amp;Matriz!$B$4,Tabla_Registro_de_movimientos_app.accdb[Fecha],"&lt;="&amp;Matriz!$C$4)</f>
        <v>0</v>
      </c>
      <c r="C40" s="105" t="e">
        <f t="shared" si="1"/>
        <v>#DIV/0!</v>
      </c>
    </row>
    <row r="41" spans="1:3" x14ac:dyDescent="0.25">
      <c r="A41" s="27" t="s">
        <v>143</v>
      </c>
      <c r="B41" s="91">
        <f>SUMIFS(Tabla_Registro_de_movimientos_app.accdb[Importe_Gasto],Tabla_Registro_de_movimientos_app.accdb[Sucursal],Matriz!$B$5,Tabla_Registro_de_movimientos_app.accdb[Detalle de movimiento],Matriz!A41,Tabla_Registro_de_movimientos_app.accdb[Fecha],"&gt;"&amp;Matriz!$B$4,Tabla_Registro_de_movimientos_app.accdb[Fecha],"&lt;="&amp;Matriz!$C$4)</f>
        <v>0</v>
      </c>
      <c r="C41" s="105" t="e">
        <f t="shared" si="1"/>
        <v>#DIV/0!</v>
      </c>
    </row>
    <row r="42" spans="1:3" x14ac:dyDescent="0.25">
      <c r="A42" s="27" t="s">
        <v>144</v>
      </c>
      <c r="B42" s="91">
        <f>SUMIFS(Tabla_Registro_de_movimientos_app.accdb[Importe_Gasto],Tabla_Registro_de_movimientos_app.accdb[Sucursal],Matriz!$B$5,Tabla_Registro_de_movimientos_app.accdb[Detalle de movimiento],Matriz!A42,Tabla_Registro_de_movimientos_app.accdb[Fecha],"&gt;"&amp;Matriz!$B$4,Tabla_Registro_de_movimientos_app.accdb[Fecha],"&lt;="&amp;Matriz!$C$4)</f>
        <v>0</v>
      </c>
      <c r="C42" s="105" t="e">
        <f t="shared" si="1"/>
        <v>#DIV/0!</v>
      </c>
    </row>
    <row r="43" spans="1:3" x14ac:dyDescent="0.25">
      <c r="A43" s="27" t="s">
        <v>145</v>
      </c>
      <c r="B43" s="91">
        <f>SUMIFS(Tabla_Registro_de_movimientos_app.accdb[Importe_Gasto],Tabla_Registro_de_movimientos_app.accdb[Sucursal],Matriz!$B$5,Tabla_Registro_de_movimientos_app.accdb[Detalle de movimiento],Matriz!A43,Tabla_Registro_de_movimientos_app.accdb[Fecha],"&gt;"&amp;Matriz!$B$4,Tabla_Registro_de_movimientos_app.accdb[Fecha],"&lt;="&amp;Matriz!$C$4)</f>
        <v>0</v>
      </c>
      <c r="C43" s="105" t="e">
        <f t="shared" si="1"/>
        <v>#DIV/0!</v>
      </c>
    </row>
    <row r="44" spans="1:3" x14ac:dyDescent="0.25">
      <c r="A44" s="28" t="s">
        <v>146</v>
      </c>
      <c r="B44" s="95">
        <f>SUM(B29:B43)</f>
        <v>0</v>
      </c>
      <c r="C44" s="104" t="e">
        <f>SUM(C29:C43)</f>
        <v>#DIV/0!</v>
      </c>
    </row>
    <row r="45" spans="1:3" x14ac:dyDescent="0.25">
      <c r="A45" s="87"/>
      <c r="B45" s="91"/>
      <c r="C45" s="88"/>
    </row>
    <row r="46" spans="1:3" x14ac:dyDescent="0.25">
      <c r="A46" s="106" t="s">
        <v>147</v>
      </c>
      <c r="B46" s="107">
        <f>+B26+B44</f>
        <v>0</v>
      </c>
      <c r="C46" s="108" t="e">
        <f>+C26+C44</f>
        <v>#DIV/0!</v>
      </c>
    </row>
    <row r="47" spans="1:3" x14ac:dyDescent="0.25">
      <c r="A47" s="87"/>
      <c r="B47" s="87"/>
      <c r="C47" s="88"/>
    </row>
    <row r="48" spans="1:3" x14ac:dyDescent="0.25">
      <c r="A48" s="87"/>
      <c r="B48" s="225" t="s">
        <v>148</v>
      </c>
      <c r="C48" s="225"/>
    </row>
    <row r="49" spans="1:8" x14ac:dyDescent="0.25">
      <c r="A49" s="109" t="s">
        <v>149</v>
      </c>
      <c r="B49" s="110" t="e">
        <f>Resultados_Semana!C20</f>
        <v>#DIV/0!</v>
      </c>
      <c r="C49" s="111" t="e">
        <f>B46*B49</f>
        <v>#DIV/0!</v>
      </c>
      <c r="D49" s="10"/>
      <c r="E49" s="209"/>
    </row>
    <row r="50" spans="1:8" x14ac:dyDescent="0.25">
      <c r="A50" s="109" t="s">
        <v>150</v>
      </c>
      <c r="B50" s="110" t="e">
        <f>Resultados_Semana!E20</f>
        <v>#DIV/0!</v>
      </c>
      <c r="C50" s="111" t="e">
        <f>B46*B50</f>
        <v>#DIV/0!</v>
      </c>
      <c r="D50" s="10"/>
      <c r="E50" s="209"/>
    </row>
    <row r="51" spans="1:8" x14ac:dyDescent="0.25">
      <c r="A51" s="109" t="s">
        <v>151</v>
      </c>
      <c r="B51" s="110" t="e">
        <f>Resultados_Semana!G20</f>
        <v>#DIV/0!</v>
      </c>
      <c r="C51" s="111" t="e">
        <f>B46*B51</f>
        <v>#DIV/0!</v>
      </c>
      <c r="D51" s="10"/>
      <c r="E51" s="209"/>
    </row>
    <row r="52" spans="1:8" x14ac:dyDescent="0.25">
      <c r="A52" s="109" t="s">
        <v>152</v>
      </c>
      <c r="B52" s="110" t="e">
        <f>Resultados_Semana!I20</f>
        <v>#DIV/0!</v>
      </c>
      <c r="C52" s="112" t="e">
        <f>B46*B52</f>
        <v>#DIV/0!</v>
      </c>
      <c r="D52" s="10"/>
      <c r="E52" s="209"/>
    </row>
    <row r="53" spans="1:8" x14ac:dyDescent="0.25">
      <c r="A53" s="87"/>
      <c r="B53" s="113" t="e">
        <f>SUM(B49:B52)</f>
        <v>#DIV/0!</v>
      </c>
      <c r="C53" s="114" t="e">
        <f>SUM(C49:C52)</f>
        <v>#DIV/0!</v>
      </c>
    </row>
    <row r="56" spans="1:8" x14ac:dyDescent="0.25">
      <c r="D56" s="6"/>
      <c r="E56" s="211"/>
      <c r="F56" s="210"/>
    </row>
    <row r="57" spans="1:8" x14ac:dyDescent="0.25">
      <c r="D57" s="6"/>
      <c r="E57" s="115"/>
      <c r="F57" s="210"/>
      <c r="G57" s="6"/>
      <c r="H57" s="6"/>
    </row>
    <row r="58" spans="1:8" x14ac:dyDescent="0.25">
      <c r="D58" s="6"/>
      <c r="E58" s="115"/>
      <c r="F58" s="210"/>
    </row>
    <row r="59" spans="1:8" x14ac:dyDescent="0.25">
      <c r="D59" s="6"/>
      <c r="E59" s="115"/>
      <c r="F59" s="210"/>
    </row>
    <row r="60" spans="1:8" x14ac:dyDescent="0.25">
      <c r="D60" s="6"/>
      <c r="E60" s="115"/>
      <c r="F60" s="210"/>
    </row>
    <row r="61" spans="1:8" x14ac:dyDescent="0.25">
      <c r="D61" s="6"/>
      <c r="E61" s="115"/>
      <c r="F61" s="210"/>
    </row>
    <row r="62" spans="1:8" x14ac:dyDescent="0.25">
      <c r="D62" s="6"/>
      <c r="E62" s="115"/>
      <c r="F62" s="210"/>
    </row>
    <row r="63" spans="1:8" x14ac:dyDescent="0.25">
      <c r="D63" s="6"/>
      <c r="E63" s="115"/>
      <c r="F63" s="210"/>
    </row>
    <row r="64" spans="1:8" x14ac:dyDescent="0.25">
      <c r="D64" s="6"/>
      <c r="E64" s="115"/>
      <c r="F64" s="210"/>
    </row>
    <row r="65" spans="4:6" x14ac:dyDescent="0.25">
      <c r="D65" s="6"/>
      <c r="E65" s="115"/>
      <c r="F65" s="210"/>
    </row>
    <row r="66" spans="4:6" x14ac:dyDescent="0.25">
      <c r="D66" s="6"/>
      <c r="E66" s="115"/>
      <c r="F66" s="210"/>
    </row>
    <row r="67" spans="4:6" x14ac:dyDescent="0.25">
      <c r="D67" s="6"/>
    </row>
  </sheetData>
  <mergeCells count="2">
    <mergeCell ref="B48:C48"/>
    <mergeCell ref="B5:C5"/>
  </mergeCells>
  <conditionalFormatting sqref="B5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4D0AE-F420-405F-98E6-673B0AEACD6F}">
  <sheetPr codeName="Hoja15"/>
  <dimension ref="A1:L10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4" sqref="K4:L5"/>
    </sheetView>
  </sheetViews>
  <sheetFormatPr baseColWidth="10" defaultRowHeight="15" x14ac:dyDescent="0.25"/>
  <cols>
    <col min="1" max="1" width="38.7109375" bestFit="1" customWidth="1"/>
    <col min="11" max="11" width="12" bestFit="1" customWidth="1"/>
  </cols>
  <sheetData>
    <row r="1" spans="1:12" x14ac:dyDescent="0.25">
      <c r="A1" s="11" t="s">
        <v>31</v>
      </c>
      <c r="B1" s="12"/>
      <c r="C1" s="13"/>
      <c r="D1" s="12"/>
      <c r="E1" s="13"/>
      <c r="F1" s="12"/>
      <c r="G1" s="13"/>
      <c r="H1" s="12"/>
      <c r="I1" s="13"/>
      <c r="J1" s="222"/>
      <c r="K1" s="222"/>
      <c r="L1" s="13"/>
    </row>
    <row r="2" spans="1:12" x14ac:dyDescent="0.25">
      <c r="A2" s="11" t="s">
        <v>32</v>
      </c>
      <c r="B2" s="12"/>
      <c r="C2" s="13"/>
      <c r="D2" s="12"/>
      <c r="E2" s="13"/>
      <c r="F2" s="12"/>
      <c r="G2" s="13"/>
      <c r="H2" s="12"/>
      <c r="I2" s="13"/>
      <c r="J2" s="222"/>
      <c r="K2" s="222"/>
      <c r="L2" s="13"/>
    </row>
    <row r="3" spans="1:12" x14ac:dyDescent="0.25">
      <c r="A3" s="58" t="s">
        <v>110</v>
      </c>
      <c r="B3" s="12"/>
      <c r="C3" s="13"/>
      <c r="D3" s="12"/>
      <c r="E3" s="13"/>
      <c r="F3" s="12"/>
      <c r="G3" s="13"/>
      <c r="H3" s="12"/>
      <c r="I3" s="13"/>
      <c r="J3" s="222"/>
      <c r="K3" s="222"/>
      <c r="L3" s="13"/>
    </row>
    <row r="4" spans="1:12" x14ac:dyDescent="0.25">
      <c r="A4" s="12"/>
      <c r="B4" s="12"/>
      <c r="C4" s="13"/>
      <c r="D4" s="12"/>
      <c r="E4" s="13"/>
      <c r="F4" s="12"/>
      <c r="G4" s="13"/>
      <c r="H4" s="12"/>
      <c r="I4" s="13"/>
      <c r="J4" s="12"/>
      <c r="K4" s="223" t="s">
        <v>245</v>
      </c>
      <c r="L4" s="223"/>
    </row>
    <row r="5" spans="1:12" ht="15.75" thickBot="1" x14ac:dyDescent="0.3">
      <c r="A5" s="12"/>
      <c r="B5" s="227" t="s">
        <v>33</v>
      </c>
      <c r="C5" s="227"/>
      <c r="D5" s="227" t="s">
        <v>111</v>
      </c>
      <c r="E5" s="227"/>
      <c r="F5" s="227" t="s">
        <v>112</v>
      </c>
      <c r="G5" s="227"/>
      <c r="H5" s="227" t="s">
        <v>113</v>
      </c>
      <c r="I5" s="227"/>
      <c r="J5" s="12"/>
      <c r="K5" s="223"/>
      <c r="L5" s="223"/>
    </row>
    <row r="6" spans="1:12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6" t="s">
        <v>36</v>
      </c>
      <c r="G6" s="16" t="s">
        <v>37</v>
      </c>
      <c r="H6" s="16" t="s">
        <v>36</v>
      </c>
      <c r="I6" s="16" t="s">
        <v>37</v>
      </c>
      <c r="J6" s="12"/>
      <c r="K6" s="59" t="s">
        <v>36</v>
      </c>
      <c r="L6" s="59" t="s">
        <v>37</v>
      </c>
    </row>
    <row r="7" spans="1:12" x14ac:dyDescent="0.25">
      <c r="A7" s="17"/>
      <c r="B7" s="18"/>
      <c r="C7" s="18"/>
      <c r="D7" s="18"/>
      <c r="E7" s="18"/>
      <c r="F7" s="18"/>
      <c r="G7" s="18"/>
      <c r="H7" s="18"/>
      <c r="I7" s="18"/>
      <c r="J7" s="12"/>
      <c r="K7" s="79"/>
      <c r="L7" s="80"/>
    </row>
    <row r="8" spans="1:12" x14ac:dyDescent="0.25">
      <c r="A8" t="s">
        <v>86</v>
      </c>
      <c r="B8" s="169">
        <f>Sucursal_Semanal!AM8</f>
        <v>0</v>
      </c>
      <c r="C8" s="21" t="e">
        <f>B8/$B$20</f>
        <v>#DIV/0!</v>
      </c>
      <c r="D8" s="12"/>
      <c r="E8" s="13"/>
      <c r="F8" s="12"/>
      <c r="G8" s="13"/>
      <c r="H8" s="12"/>
      <c r="I8" s="13"/>
      <c r="J8" s="12"/>
      <c r="K8" s="78">
        <f>B8+D8+F8+H8</f>
        <v>0</v>
      </c>
      <c r="L8" s="77"/>
    </row>
    <row r="9" spans="1:12" x14ac:dyDescent="0.25">
      <c r="A9" t="s">
        <v>87</v>
      </c>
      <c r="B9" s="75">
        <f>Sucursal_Semanal!AM9</f>
        <v>0</v>
      </c>
      <c r="C9" s="21" t="e">
        <f t="shared" ref="C9:C12" si="0">B9/$B$20</f>
        <v>#DIV/0!</v>
      </c>
      <c r="D9" s="12"/>
      <c r="E9" s="13"/>
      <c r="F9" s="12"/>
      <c r="G9" s="13"/>
      <c r="H9" s="12"/>
      <c r="I9" s="13"/>
      <c r="J9" s="12"/>
      <c r="K9" s="78">
        <f t="shared" ref="K9:K20" si="1">B9+D9+F9+H9</f>
        <v>0</v>
      </c>
      <c r="L9" s="77"/>
    </row>
    <row r="10" spans="1:12" x14ac:dyDescent="0.25">
      <c r="A10" t="s">
        <v>88</v>
      </c>
      <c r="B10" s="75">
        <f>Sucursal_Semanal!AM10</f>
        <v>0</v>
      </c>
      <c r="C10" s="21" t="e">
        <f t="shared" si="0"/>
        <v>#DIV/0!</v>
      </c>
      <c r="D10" s="12"/>
      <c r="E10" s="13"/>
      <c r="F10" s="12"/>
      <c r="G10" s="13"/>
      <c r="H10" s="12"/>
      <c r="I10" s="13"/>
      <c r="J10" s="12"/>
      <c r="K10" s="78">
        <f t="shared" si="1"/>
        <v>0</v>
      </c>
      <c r="L10" s="77"/>
    </row>
    <row r="11" spans="1:12" x14ac:dyDescent="0.25">
      <c r="A11" t="s">
        <v>89</v>
      </c>
      <c r="B11" s="75">
        <f>Sucursal_Semanal!AM11</f>
        <v>0</v>
      </c>
      <c r="C11" s="21" t="e">
        <f t="shared" si="0"/>
        <v>#DIV/0!</v>
      </c>
      <c r="D11" s="12"/>
      <c r="E11" s="13"/>
      <c r="F11" s="12"/>
      <c r="G11" s="13"/>
      <c r="H11" s="12"/>
      <c r="I11" s="13"/>
      <c r="J11" s="12"/>
      <c r="K11" s="78">
        <f t="shared" si="1"/>
        <v>0</v>
      </c>
      <c r="L11" s="77"/>
    </row>
    <row r="12" spans="1:12" x14ac:dyDescent="0.25">
      <c r="A12" t="s">
        <v>90</v>
      </c>
      <c r="B12" s="75">
        <f>Sucursal_Semanal!AM12</f>
        <v>0</v>
      </c>
      <c r="C12" s="21" t="e">
        <f t="shared" si="0"/>
        <v>#DIV/0!</v>
      </c>
      <c r="D12" s="12"/>
      <c r="E12" s="13"/>
      <c r="F12" s="12"/>
      <c r="G12" s="13"/>
      <c r="H12" s="12"/>
      <c r="I12" s="13"/>
      <c r="J12" s="12"/>
      <c r="K12" s="78">
        <f t="shared" si="1"/>
        <v>0</v>
      </c>
      <c r="L12" s="77"/>
    </row>
    <row r="13" spans="1:12" x14ac:dyDescent="0.25">
      <c r="A13" s="19" t="s">
        <v>27</v>
      </c>
      <c r="B13" s="12"/>
      <c r="C13" s="13"/>
      <c r="D13" s="20">
        <f>Almacen_Semanal!B8</f>
        <v>0</v>
      </c>
      <c r="E13" s="21" t="e">
        <f>D13/$D$20</f>
        <v>#DIV/0!</v>
      </c>
      <c r="F13" s="20">
        <f>Produccion_Semanal!G7</f>
        <v>0</v>
      </c>
      <c r="G13" s="21" t="e">
        <f>F13/$F$20</f>
        <v>#DIV/0!</v>
      </c>
      <c r="H13" s="12"/>
      <c r="I13" s="13"/>
      <c r="J13" s="12"/>
      <c r="K13" s="78"/>
      <c r="L13" s="77"/>
    </row>
    <row r="14" spans="1:12" x14ac:dyDescent="0.25">
      <c r="A14" s="19" t="s">
        <v>22</v>
      </c>
      <c r="B14" s="12"/>
      <c r="C14" s="13"/>
      <c r="D14" s="20">
        <f>Almacen_Semanal!B9</f>
        <v>0</v>
      </c>
      <c r="E14" s="21" t="e">
        <f t="shared" ref="E14:E15" si="2">D14/$D$20</f>
        <v>#DIV/0!</v>
      </c>
      <c r="F14" s="12"/>
      <c r="G14" s="13"/>
      <c r="H14" s="12"/>
      <c r="I14" s="13"/>
      <c r="J14" s="12"/>
      <c r="K14" s="78"/>
      <c r="L14" s="77"/>
    </row>
    <row r="15" spans="1:12" x14ac:dyDescent="0.25">
      <c r="A15" s="19" t="s">
        <v>92</v>
      </c>
      <c r="B15" s="12"/>
      <c r="C15" s="13"/>
      <c r="D15" s="20">
        <f>Almacen_Semanal!B10</f>
        <v>0</v>
      </c>
      <c r="E15" s="21" t="e">
        <f t="shared" si="2"/>
        <v>#DIV/0!</v>
      </c>
      <c r="F15" s="12"/>
      <c r="G15" s="13"/>
      <c r="H15" s="12"/>
      <c r="I15" s="13"/>
      <c r="J15" s="12"/>
      <c r="K15" s="78"/>
      <c r="L15" s="77"/>
    </row>
    <row r="16" spans="1:12" x14ac:dyDescent="0.25">
      <c r="A16" s="19" t="s">
        <v>98</v>
      </c>
      <c r="B16" s="12"/>
      <c r="C16" s="13"/>
      <c r="D16" s="12"/>
      <c r="E16" s="13"/>
      <c r="F16" s="20">
        <f>Produccion_Semanal!G8</f>
        <v>0</v>
      </c>
      <c r="G16" s="21" t="e">
        <f>F16/$F$20</f>
        <v>#DIV/0!</v>
      </c>
      <c r="H16" s="12"/>
      <c r="I16" s="13"/>
      <c r="J16" s="12"/>
      <c r="K16" s="78"/>
      <c r="L16" s="77"/>
    </row>
    <row r="17" spans="1:12" x14ac:dyDescent="0.25">
      <c r="A17" s="19" t="s">
        <v>99</v>
      </c>
      <c r="B17" s="12"/>
      <c r="C17" s="13"/>
      <c r="D17" s="12"/>
      <c r="E17" s="13"/>
      <c r="F17" s="20">
        <f>Produccion_Semanal!G9</f>
        <v>0</v>
      </c>
      <c r="G17" s="21" t="e">
        <f>F17/$F$20</f>
        <v>#DIV/0!</v>
      </c>
      <c r="H17" s="12"/>
      <c r="I17" s="13"/>
      <c r="J17" s="12"/>
      <c r="K17" s="78"/>
      <c r="L17" s="77"/>
    </row>
    <row r="18" spans="1:12" x14ac:dyDescent="0.25">
      <c r="A18" s="27" t="s">
        <v>109</v>
      </c>
      <c r="B18" s="12"/>
      <c r="C18" s="13"/>
      <c r="D18" s="12"/>
      <c r="E18" s="13"/>
      <c r="F18" s="12"/>
      <c r="G18" s="13"/>
      <c r="H18" s="20">
        <f>Franquicias_Semanal!B7</f>
        <v>0</v>
      </c>
      <c r="I18" s="21" t="e">
        <f>H18/$H$20</f>
        <v>#DIV/0!</v>
      </c>
      <c r="J18" s="12"/>
      <c r="K18" s="78">
        <f t="shared" si="1"/>
        <v>0</v>
      </c>
      <c r="L18" s="77"/>
    </row>
    <row r="19" spans="1:12" x14ac:dyDescent="0.25">
      <c r="A19" s="27" t="s">
        <v>102</v>
      </c>
      <c r="B19" s="12"/>
      <c r="C19" s="13"/>
      <c r="D19" s="12"/>
      <c r="E19" s="13"/>
      <c r="F19" s="12"/>
      <c r="G19" s="13"/>
      <c r="H19" s="20">
        <f>Franquicias_Semanal!B8</f>
        <v>0</v>
      </c>
      <c r="I19" s="21" t="e">
        <f>H19/$H$20</f>
        <v>#DIV/0!</v>
      </c>
      <c r="J19" s="12"/>
      <c r="K19" s="78">
        <f t="shared" si="1"/>
        <v>0</v>
      </c>
      <c r="L19" s="77"/>
    </row>
    <row r="20" spans="1:12" x14ac:dyDescent="0.25">
      <c r="A20" s="22" t="s">
        <v>38</v>
      </c>
      <c r="B20" s="23">
        <f>SUM(B8:B19)</f>
        <v>0</v>
      </c>
      <c r="C20" s="24" t="e">
        <f>B20/K20</f>
        <v>#DIV/0!</v>
      </c>
      <c r="D20" s="23">
        <f>SUM(D8:D19)</f>
        <v>0</v>
      </c>
      <c r="E20" s="24" t="e">
        <f>D20/K20</f>
        <v>#DIV/0!</v>
      </c>
      <c r="F20" s="23">
        <f>SUM(F8:F19)</f>
        <v>0</v>
      </c>
      <c r="G20" s="24" t="e">
        <f>F20/K20</f>
        <v>#DIV/0!</v>
      </c>
      <c r="H20" s="23">
        <f>SUM(H8:H19)</f>
        <v>0</v>
      </c>
      <c r="I20" s="24" t="e">
        <f>H20/K20</f>
        <v>#DIV/0!</v>
      </c>
      <c r="J20" s="17"/>
      <c r="K20" s="60">
        <f t="shared" si="1"/>
        <v>0</v>
      </c>
      <c r="L20" s="61" t="e">
        <f>C20+E20+G20+I20</f>
        <v>#DIV/0!</v>
      </c>
    </row>
    <row r="21" spans="1:12" x14ac:dyDescent="0.25">
      <c r="A21" s="25"/>
      <c r="B21" s="12"/>
      <c r="C21" s="13"/>
      <c r="D21" s="12"/>
      <c r="E21" s="13"/>
      <c r="F21" s="12"/>
      <c r="G21" s="13"/>
      <c r="H21" s="12"/>
      <c r="I21" s="13"/>
      <c r="J21" s="12"/>
      <c r="K21" s="79"/>
      <c r="L21" s="80"/>
    </row>
    <row r="22" spans="1:12" x14ac:dyDescent="0.25">
      <c r="A22" s="26" t="s">
        <v>53</v>
      </c>
      <c r="B22" s="12"/>
      <c r="C22" s="13"/>
      <c r="D22" s="12"/>
      <c r="E22" s="13"/>
      <c r="F22" s="12"/>
      <c r="G22" s="13"/>
      <c r="H22" s="12"/>
      <c r="I22" s="13"/>
      <c r="J22" s="12"/>
      <c r="K22" s="76"/>
      <c r="L22" s="77"/>
    </row>
    <row r="23" spans="1:12" x14ac:dyDescent="0.25">
      <c r="A23" s="19" t="s">
        <v>24</v>
      </c>
      <c r="B23" s="169">
        <f>Sucursal_Semanal!AM16</f>
        <v>0</v>
      </c>
      <c r="C23" s="48" t="e">
        <f>B23/$B$31</f>
        <v>#DIV/0!</v>
      </c>
      <c r="D23" s="20">
        <f>Almacen_Semanal!B14</f>
        <v>0</v>
      </c>
      <c r="E23" s="48" t="e">
        <f>D23/$D$31</f>
        <v>#DIV/0!</v>
      </c>
      <c r="F23" s="20">
        <f>Produccion_Semanal!G13</f>
        <v>0</v>
      </c>
      <c r="G23" s="48" t="e">
        <f>F23/$F$31</f>
        <v>#DIV/0!</v>
      </c>
      <c r="H23" s="12"/>
      <c r="I23" s="13"/>
      <c r="J23" s="12"/>
      <c r="K23" s="78">
        <f t="shared" ref="K23:K30" si="3">B23+D23+F23+H23</f>
        <v>0</v>
      </c>
      <c r="L23" s="77"/>
    </row>
    <row r="24" spans="1:12" x14ac:dyDescent="0.25">
      <c r="A24" s="19" t="s">
        <v>21</v>
      </c>
      <c r="B24" s="169">
        <f>Sucursal_Semanal!AM17</f>
        <v>0</v>
      </c>
      <c r="C24" s="48" t="e">
        <f t="shared" ref="C24:C30" si="4">B24/$B$31</f>
        <v>#DIV/0!</v>
      </c>
      <c r="D24" s="20">
        <f>Almacen_Semanal!B15</f>
        <v>0</v>
      </c>
      <c r="E24" s="48" t="e">
        <f t="shared" ref="E24:E30" si="5">D24/$D$31</f>
        <v>#DIV/0!</v>
      </c>
      <c r="F24" s="20">
        <f>Produccion_Semanal!G14</f>
        <v>0</v>
      </c>
      <c r="G24" s="48" t="e">
        <f t="shared" ref="G24:G30" si="6">F24/$F$31</f>
        <v>#DIV/0!</v>
      </c>
      <c r="H24" s="12"/>
      <c r="I24" s="13"/>
      <c r="J24" s="12"/>
      <c r="K24" s="78">
        <f t="shared" si="3"/>
        <v>0</v>
      </c>
      <c r="L24" s="77"/>
    </row>
    <row r="25" spans="1:12" x14ac:dyDescent="0.25">
      <c r="A25" s="27" t="s">
        <v>54</v>
      </c>
      <c r="B25" s="169">
        <f>Sucursal_Semanal!AM18</f>
        <v>0</v>
      </c>
      <c r="C25" s="48" t="e">
        <f t="shared" si="4"/>
        <v>#DIV/0!</v>
      </c>
      <c r="D25" s="20">
        <f>Almacen_Semanal!B16</f>
        <v>0</v>
      </c>
      <c r="E25" s="48" t="e">
        <f t="shared" si="5"/>
        <v>#DIV/0!</v>
      </c>
      <c r="F25" s="20">
        <f>Produccion_Semanal!G15</f>
        <v>0</v>
      </c>
      <c r="G25" s="48" t="e">
        <f t="shared" si="6"/>
        <v>#DIV/0!</v>
      </c>
      <c r="H25" s="12"/>
      <c r="I25" s="13"/>
      <c r="J25" s="12"/>
      <c r="K25" s="78">
        <f t="shared" si="3"/>
        <v>0</v>
      </c>
      <c r="L25" s="77"/>
    </row>
    <row r="26" spans="1:12" x14ac:dyDescent="0.25">
      <c r="A26" s="19" t="s">
        <v>29</v>
      </c>
      <c r="B26" s="169">
        <f>Sucursal_Semanal!AM19</f>
        <v>0</v>
      </c>
      <c r="C26" s="48" t="e">
        <f t="shared" si="4"/>
        <v>#DIV/0!</v>
      </c>
      <c r="D26" s="20">
        <f>Almacen_Semanal!B17</f>
        <v>0</v>
      </c>
      <c r="E26" s="48" t="e">
        <f t="shared" si="5"/>
        <v>#DIV/0!</v>
      </c>
      <c r="F26" s="20">
        <f>Produccion_Semanal!G16</f>
        <v>0</v>
      </c>
      <c r="G26" s="48" t="e">
        <f t="shared" si="6"/>
        <v>#DIV/0!</v>
      </c>
      <c r="H26" s="12"/>
      <c r="I26" s="13"/>
      <c r="J26" s="12"/>
      <c r="K26" s="78">
        <f t="shared" si="3"/>
        <v>0</v>
      </c>
      <c r="L26" s="77"/>
    </row>
    <row r="27" spans="1:12" x14ac:dyDescent="0.25">
      <c r="A27" s="19" t="s">
        <v>55</v>
      </c>
      <c r="B27" s="169">
        <f>Sucursal_Semanal!AM20</f>
        <v>0</v>
      </c>
      <c r="C27" s="48" t="e">
        <f t="shared" si="4"/>
        <v>#DIV/0!</v>
      </c>
      <c r="D27" s="20">
        <f>Almacen_Semanal!B18</f>
        <v>0</v>
      </c>
      <c r="E27" s="48" t="e">
        <f t="shared" si="5"/>
        <v>#DIV/0!</v>
      </c>
      <c r="F27" s="20">
        <f>Produccion_Semanal!G17</f>
        <v>0</v>
      </c>
      <c r="G27" s="48" t="e">
        <f t="shared" si="6"/>
        <v>#DIV/0!</v>
      </c>
      <c r="H27" s="12"/>
      <c r="I27" s="13"/>
      <c r="J27" s="12"/>
      <c r="K27" s="78">
        <f t="shared" si="3"/>
        <v>0</v>
      </c>
      <c r="L27" s="77"/>
    </row>
    <row r="28" spans="1:12" x14ac:dyDescent="0.25">
      <c r="A28" s="19" t="s">
        <v>56</v>
      </c>
      <c r="B28" s="169">
        <f>Sucursal_Semanal!AM21</f>
        <v>0</v>
      </c>
      <c r="C28" s="48" t="e">
        <f t="shared" si="4"/>
        <v>#DIV/0!</v>
      </c>
      <c r="D28" s="20">
        <f>Almacen_Semanal!B19</f>
        <v>0</v>
      </c>
      <c r="E28" s="48" t="e">
        <f t="shared" si="5"/>
        <v>#DIV/0!</v>
      </c>
      <c r="F28" s="20">
        <f>Produccion_Semanal!G18</f>
        <v>0</v>
      </c>
      <c r="G28" s="48" t="e">
        <f t="shared" si="6"/>
        <v>#DIV/0!</v>
      </c>
      <c r="H28" s="12"/>
      <c r="I28" s="13"/>
      <c r="J28" s="12"/>
      <c r="K28" s="78">
        <f t="shared" si="3"/>
        <v>0</v>
      </c>
      <c r="L28" s="77"/>
    </row>
    <row r="29" spans="1:12" x14ac:dyDescent="0.25">
      <c r="A29" s="27" t="s">
        <v>25</v>
      </c>
      <c r="B29" s="169">
        <f>Sucursal_Semanal!AM22</f>
        <v>0</v>
      </c>
      <c r="C29" s="48" t="e">
        <f t="shared" si="4"/>
        <v>#DIV/0!</v>
      </c>
      <c r="D29" s="20">
        <f>Almacen_Semanal!B20</f>
        <v>0</v>
      </c>
      <c r="E29" s="48" t="e">
        <f t="shared" si="5"/>
        <v>#DIV/0!</v>
      </c>
      <c r="F29" s="20">
        <f>Produccion_Semanal!G19</f>
        <v>0</v>
      </c>
      <c r="G29" s="48" t="e">
        <f t="shared" si="6"/>
        <v>#DIV/0!</v>
      </c>
      <c r="H29" s="12"/>
      <c r="I29" s="13"/>
      <c r="J29" s="12"/>
      <c r="K29" s="78">
        <f t="shared" si="3"/>
        <v>0</v>
      </c>
      <c r="L29" s="77"/>
    </row>
    <row r="30" spans="1:12" x14ac:dyDescent="0.25">
      <c r="A30" s="27" t="s">
        <v>57</v>
      </c>
      <c r="B30" s="169">
        <f>Sucursal_Semanal!AM23</f>
        <v>0</v>
      </c>
      <c r="C30" s="48" t="e">
        <f t="shared" si="4"/>
        <v>#DIV/0!</v>
      </c>
      <c r="D30" s="20">
        <f>Almacen_Semanal!B21</f>
        <v>0</v>
      </c>
      <c r="E30" s="48" t="e">
        <f t="shared" si="5"/>
        <v>#DIV/0!</v>
      </c>
      <c r="F30" s="20">
        <f>Produccion_Semanal!G20</f>
        <v>0</v>
      </c>
      <c r="G30" s="48" t="e">
        <f t="shared" si="6"/>
        <v>#DIV/0!</v>
      </c>
      <c r="H30" s="12"/>
      <c r="I30" s="13"/>
      <c r="J30" s="12"/>
      <c r="K30" s="78">
        <f t="shared" si="3"/>
        <v>0</v>
      </c>
      <c r="L30" s="77"/>
    </row>
    <row r="31" spans="1:12" x14ac:dyDescent="0.25">
      <c r="A31" s="28" t="s">
        <v>58</v>
      </c>
      <c r="B31" s="23">
        <f>SUM(B23:B30)</f>
        <v>0</v>
      </c>
      <c r="C31" s="24" t="e">
        <f>B31/$K$31</f>
        <v>#DIV/0!</v>
      </c>
      <c r="D31" s="23">
        <f>SUM(D23:D30)</f>
        <v>0</v>
      </c>
      <c r="E31" s="24" t="e">
        <f>D31/K31</f>
        <v>#DIV/0!</v>
      </c>
      <c r="F31" s="23">
        <f>SUM(F23:F30)</f>
        <v>0</v>
      </c>
      <c r="G31" s="24" t="e">
        <f>F31/$K$31</f>
        <v>#DIV/0!</v>
      </c>
      <c r="H31" s="34">
        <v>0</v>
      </c>
      <c r="I31" s="24">
        <v>0</v>
      </c>
      <c r="J31" s="12"/>
      <c r="K31" s="60">
        <f>SUM(K23:K27)-K28-K29-K30</f>
        <v>0</v>
      </c>
      <c r="L31" s="61" t="e">
        <f>K31/K20</f>
        <v>#DIV/0!</v>
      </c>
    </row>
    <row r="32" spans="1:12" x14ac:dyDescent="0.25">
      <c r="A32" s="11"/>
      <c r="B32" s="12"/>
      <c r="C32" s="13"/>
      <c r="D32" s="12"/>
      <c r="E32" s="13"/>
      <c r="F32" s="12"/>
      <c r="G32" s="13"/>
      <c r="H32" s="12"/>
      <c r="I32" s="13"/>
      <c r="J32" s="12"/>
      <c r="K32" s="79"/>
      <c r="L32" s="81"/>
    </row>
    <row r="33" spans="1:12" x14ac:dyDescent="0.25">
      <c r="A33" s="62" t="s">
        <v>59</v>
      </c>
      <c r="B33" s="38">
        <f>B20-B31</f>
        <v>0</v>
      </c>
      <c r="C33" s="39" t="e">
        <f>B33/B20</f>
        <v>#DIV/0!</v>
      </c>
      <c r="D33" s="38">
        <f>D20-D31</f>
        <v>0</v>
      </c>
      <c r="E33" s="39" t="e">
        <f>D33/D20</f>
        <v>#DIV/0!</v>
      </c>
      <c r="F33" s="38">
        <f>F20-F31</f>
        <v>0</v>
      </c>
      <c r="G33" s="39" t="e">
        <f>F33/F20</f>
        <v>#DIV/0!</v>
      </c>
      <c r="H33" s="38">
        <f>H20-H31</f>
        <v>0</v>
      </c>
      <c r="I33" s="39" t="e">
        <f>H33/H20</f>
        <v>#DIV/0!</v>
      </c>
      <c r="J33" s="12"/>
      <c r="K33" s="60">
        <f>K20-K31</f>
        <v>0</v>
      </c>
      <c r="L33" s="61" t="e">
        <f>K33/K20</f>
        <v>#DIV/0!</v>
      </c>
    </row>
    <row r="34" spans="1:12" x14ac:dyDescent="0.25">
      <c r="A34" s="11"/>
      <c r="B34" s="12"/>
      <c r="C34" s="13"/>
      <c r="D34" s="12"/>
      <c r="E34" s="13"/>
      <c r="F34" s="12"/>
      <c r="G34" s="13"/>
      <c r="H34" s="12"/>
      <c r="I34" s="13"/>
      <c r="J34" s="12"/>
      <c r="K34" s="79"/>
      <c r="L34" s="81"/>
    </row>
    <row r="35" spans="1:12" x14ac:dyDescent="0.25">
      <c r="A35" s="86" t="s">
        <v>60</v>
      </c>
      <c r="B35" s="87"/>
      <c r="C35" s="88"/>
      <c r="D35" s="87"/>
      <c r="E35" s="88"/>
      <c r="F35" s="87"/>
      <c r="G35" s="88"/>
      <c r="H35" s="87"/>
      <c r="I35" s="88"/>
      <c r="J35" s="87"/>
      <c r="K35" s="89"/>
      <c r="L35" s="90"/>
    </row>
    <row r="36" spans="1:12" x14ac:dyDescent="0.25">
      <c r="A36" s="87" t="s">
        <v>130</v>
      </c>
      <c r="B36" s="91">
        <f>Sucursal_Semanal!AM29</f>
        <v>0</v>
      </c>
      <c r="C36" s="92" t="e">
        <f>B36/$B$40</f>
        <v>#DIV/0!</v>
      </c>
      <c r="D36" s="91"/>
      <c r="E36" s="92"/>
      <c r="F36" s="91"/>
      <c r="G36" s="92"/>
      <c r="H36" s="91"/>
      <c r="I36" s="92"/>
      <c r="J36" s="87"/>
      <c r="K36" s="93">
        <f t="shared" ref="K36:K39" si="7">B36+D36+F36+H36</f>
        <v>0</v>
      </c>
      <c r="L36" s="94" t="e">
        <f>K36/$K$40</f>
        <v>#DIV/0!</v>
      </c>
    </row>
    <row r="37" spans="1:12" x14ac:dyDescent="0.25">
      <c r="A37" s="87" t="s">
        <v>131</v>
      </c>
      <c r="B37" s="91">
        <f>Sucursal_Semanal!AM30</f>
        <v>0</v>
      </c>
      <c r="C37" s="92" t="e">
        <f t="shared" ref="C37:C39" si="8">B37/$B$40</f>
        <v>#DIV/0!</v>
      </c>
      <c r="D37" s="91"/>
      <c r="E37" s="92"/>
      <c r="F37" s="91"/>
      <c r="G37" s="92"/>
      <c r="H37" s="91"/>
      <c r="I37" s="92"/>
      <c r="J37" s="87"/>
      <c r="K37" s="93">
        <f t="shared" si="7"/>
        <v>0</v>
      </c>
      <c r="L37" s="94" t="e">
        <f t="shared" ref="L37:L39" si="9">K37/$K$40</f>
        <v>#DIV/0!</v>
      </c>
    </row>
    <row r="38" spans="1:12" x14ac:dyDescent="0.25">
      <c r="A38" s="87" t="s">
        <v>132</v>
      </c>
      <c r="B38" s="91">
        <f>Sucursal_Semanal!AM31</f>
        <v>0</v>
      </c>
      <c r="C38" s="92" t="e">
        <f t="shared" si="8"/>
        <v>#DIV/0!</v>
      </c>
      <c r="D38" s="91"/>
      <c r="E38" s="92"/>
      <c r="F38" s="91"/>
      <c r="G38" s="92"/>
      <c r="H38" s="91"/>
      <c r="I38" s="92"/>
      <c r="J38" s="87"/>
      <c r="K38" s="93">
        <f t="shared" si="7"/>
        <v>0</v>
      </c>
      <c r="L38" s="94" t="e">
        <f t="shared" si="9"/>
        <v>#DIV/0!</v>
      </c>
    </row>
    <row r="39" spans="1:12" x14ac:dyDescent="0.25">
      <c r="A39" s="87" t="s">
        <v>133</v>
      </c>
      <c r="B39" s="91">
        <f>Sucursal_Semanal!AM32</f>
        <v>0</v>
      </c>
      <c r="C39" s="92" t="e">
        <f t="shared" si="8"/>
        <v>#DIV/0!</v>
      </c>
      <c r="D39" s="91"/>
      <c r="E39" s="92"/>
      <c r="F39" s="91"/>
      <c r="G39" s="92"/>
      <c r="H39" s="91"/>
      <c r="I39" s="92"/>
      <c r="J39" s="87"/>
      <c r="K39" s="93">
        <f t="shared" si="7"/>
        <v>0</v>
      </c>
      <c r="L39" s="94" t="e">
        <f t="shared" si="9"/>
        <v>#DIV/0!</v>
      </c>
    </row>
    <row r="40" spans="1:12" x14ac:dyDescent="0.25">
      <c r="A40" s="28" t="s">
        <v>61</v>
      </c>
      <c r="B40" s="95">
        <f t="shared" ref="B40:I40" si="10">SUM(B36:B39)</f>
        <v>0</v>
      </c>
      <c r="C40" s="96" t="e">
        <f>B40/K40</f>
        <v>#DIV/0!</v>
      </c>
      <c r="D40" s="95">
        <f t="shared" si="10"/>
        <v>0</v>
      </c>
      <c r="E40" s="96">
        <f t="shared" si="10"/>
        <v>0</v>
      </c>
      <c r="F40" s="95">
        <f t="shared" si="10"/>
        <v>0</v>
      </c>
      <c r="G40" s="96">
        <f t="shared" si="10"/>
        <v>0</v>
      </c>
      <c r="H40" s="95">
        <f t="shared" si="10"/>
        <v>0</v>
      </c>
      <c r="I40" s="96">
        <f t="shared" si="10"/>
        <v>0</v>
      </c>
      <c r="J40" s="87"/>
      <c r="K40" s="97">
        <f>SUM(K36:K39)</f>
        <v>0</v>
      </c>
      <c r="L40" s="98" t="e">
        <f>K40/K20</f>
        <v>#DIV/0!</v>
      </c>
    </row>
    <row r="41" spans="1:12" x14ac:dyDescent="0.25">
      <c r="A41" s="11"/>
      <c r="B41" s="99"/>
      <c r="C41" s="100"/>
      <c r="D41" s="99"/>
      <c r="E41" s="100"/>
      <c r="F41" s="99"/>
      <c r="G41" s="100"/>
      <c r="H41" s="99"/>
      <c r="I41" s="100"/>
      <c r="J41" s="87"/>
      <c r="K41" s="80"/>
      <c r="L41" s="80"/>
    </row>
    <row r="42" spans="1:12" x14ac:dyDescent="0.25">
      <c r="A42" s="51" t="s">
        <v>114</v>
      </c>
      <c r="B42" s="12"/>
      <c r="C42" s="13"/>
      <c r="D42" s="12"/>
      <c r="E42" s="13"/>
      <c r="F42" s="12"/>
      <c r="G42" s="13"/>
      <c r="H42" s="12"/>
      <c r="I42" s="13"/>
      <c r="J42" s="12"/>
      <c r="K42" s="76"/>
      <c r="L42" s="77"/>
    </row>
    <row r="43" spans="1:12" x14ac:dyDescent="0.25">
      <c r="A43" s="27" t="s">
        <v>30</v>
      </c>
      <c r="B43" s="169">
        <f>Sucursal_Semanal!AM36</f>
        <v>0</v>
      </c>
      <c r="C43" s="21" t="e">
        <f t="shared" ref="C43:C55" si="11">B43/$B$64</f>
        <v>#DIV/0!</v>
      </c>
      <c r="D43" s="20">
        <f>Almacen_Semanal!B27</f>
        <v>0</v>
      </c>
      <c r="E43" s="21" t="e">
        <f>D43/$D$64</f>
        <v>#DIV/0!</v>
      </c>
      <c r="F43" s="20">
        <f>Produccion_Semanal!G26</f>
        <v>0</v>
      </c>
      <c r="G43" s="21" t="e">
        <f>F43/$F$64</f>
        <v>#DIV/0!</v>
      </c>
      <c r="H43" s="12"/>
      <c r="I43" s="21"/>
      <c r="J43" s="12"/>
      <c r="K43" s="78">
        <f t="shared" ref="K43:K63" si="12">B43+D43+F43+H43</f>
        <v>0</v>
      </c>
      <c r="L43" s="83" t="e">
        <f>K43/$K$64</f>
        <v>#DIV/0!</v>
      </c>
    </row>
    <row r="44" spans="1:12" x14ac:dyDescent="0.25">
      <c r="A44" s="27" t="s">
        <v>115</v>
      </c>
      <c r="B44" s="169">
        <f>Sucursal_Semanal!AM37</f>
        <v>0</v>
      </c>
      <c r="C44" s="21" t="e">
        <f t="shared" si="11"/>
        <v>#DIV/0!</v>
      </c>
      <c r="D44" s="20"/>
      <c r="E44" s="21"/>
      <c r="F44" s="12"/>
      <c r="G44" s="21" t="e">
        <f t="shared" ref="G44:G55" si="13">F44/$F$64</f>
        <v>#DIV/0!</v>
      </c>
      <c r="H44" s="12"/>
      <c r="I44" s="21"/>
      <c r="J44" s="12"/>
      <c r="K44" s="78">
        <f t="shared" si="12"/>
        <v>0</v>
      </c>
      <c r="L44" s="83" t="e">
        <f t="shared" ref="L44:L63" si="14">K44/$K$64</f>
        <v>#DIV/0!</v>
      </c>
    </row>
    <row r="45" spans="1:12" x14ac:dyDescent="0.25">
      <c r="A45" s="27" t="s">
        <v>40</v>
      </c>
      <c r="B45" s="169">
        <f>Sucursal_Semanal!AM38</f>
        <v>0</v>
      </c>
      <c r="C45" s="21" t="e">
        <f t="shared" si="11"/>
        <v>#DIV/0!</v>
      </c>
      <c r="D45" s="20"/>
      <c r="E45" s="21"/>
      <c r="F45" s="12"/>
      <c r="G45" s="21" t="e">
        <f t="shared" si="13"/>
        <v>#DIV/0!</v>
      </c>
      <c r="H45" s="12"/>
      <c r="I45" s="21"/>
      <c r="J45" s="12"/>
      <c r="K45" s="78">
        <f t="shared" si="12"/>
        <v>0</v>
      </c>
      <c r="L45" s="83" t="e">
        <f t="shared" si="14"/>
        <v>#DIV/0!</v>
      </c>
    </row>
    <row r="46" spans="1:12" x14ac:dyDescent="0.25">
      <c r="A46" s="27" t="s">
        <v>26</v>
      </c>
      <c r="B46" s="169">
        <f>Sucursal_Semanal!AM39</f>
        <v>0</v>
      </c>
      <c r="C46" s="21" t="e">
        <f t="shared" si="11"/>
        <v>#DIV/0!</v>
      </c>
      <c r="D46" s="20">
        <f>Almacen_Semanal!B28</f>
        <v>0</v>
      </c>
      <c r="E46" s="21" t="e">
        <f t="shared" ref="E46:E59" si="15">D46/$D$64</f>
        <v>#DIV/0!</v>
      </c>
      <c r="F46" s="20">
        <f>Produccion_Semanal!G27</f>
        <v>0</v>
      </c>
      <c r="G46" s="21" t="e">
        <f t="shared" si="13"/>
        <v>#DIV/0!</v>
      </c>
      <c r="H46" s="12"/>
      <c r="I46" s="21"/>
      <c r="J46" s="12"/>
      <c r="K46" s="78">
        <f t="shared" si="12"/>
        <v>0</v>
      </c>
      <c r="L46" s="83" t="e">
        <f t="shared" si="14"/>
        <v>#DIV/0!</v>
      </c>
    </row>
    <row r="47" spans="1:12" x14ac:dyDescent="0.25">
      <c r="A47" s="27" t="s">
        <v>41</v>
      </c>
      <c r="B47" s="169">
        <f>Sucursal_Semanal!AM40</f>
        <v>0</v>
      </c>
      <c r="C47" s="21" t="e">
        <f t="shared" si="11"/>
        <v>#DIV/0!</v>
      </c>
      <c r="D47" s="20">
        <f>Almacen_Semanal!B29</f>
        <v>0</v>
      </c>
      <c r="E47" s="21" t="e">
        <f t="shared" si="15"/>
        <v>#DIV/0!</v>
      </c>
      <c r="F47" s="20">
        <f>Produccion_Semanal!G28</f>
        <v>0</v>
      </c>
      <c r="G47" s="21" t="e">
        <f t="shared" si="13"/>
        <v>#DIV/0!</v>
      </c>
      <c r="H47" s="12"/>
      <c r="I47" s="21"/>
      <c r="J47" s="12"/>
      <c r="K47" s="78">
        <f t="shared" si="12"/>
        <v>0</v>
      </c>
      <c r="L47" s="83" t="e">
        <f t="shared" si="14"/>
        <v>#DIV/0!</v>
      </c>
    </row>
    <row r="48" spans="1:12" x14ac:dyDescent="0.25">
      <c r="A48" s="27" t="s">
        <v>42</v>
      </c>
      <c r="B48" s="169">
        <f>Sucursal_Semanal!AM41</f>
        <v>0</v>
      </c>
      <c r="C48" s="21" t="e">
        <f t="shared" si="11"/>
        <v>#DIV/0!</v>
      </c>
      <c r="D48" s="20">
        <f>Almacen_Semanal!B30</f>
        <v>0</v>
      </c>
      <c r="E48" s="21" t="e">
        <f t="shared" si="15"/>
        <v>#DIV/0!</v>
      </c>
      <c r="F48" s="20">
        <f>Produccion_Semanal!G29</f>
        <v>0</v>
      </c>
      <c r="G48" s="21" t="e">
        <f t="shared" si="13"/>
        <v>#DIV/0!</v>
      </c>
      <c r="H48" s="12"/>
      <c r="I48" s="21"/>
      <c r="J48" s="12"/>
      <c r="K48" s="78">
        <f t="shared" si="12"/>
        <v>0</v>
      </c>
      <c r="L48" s="83" t="e">
        <f t="shared" si="14"/>
        <v>#DIV/0!</v>
      </c>
    </row>
    <row r="49" spans="1:12" x14ac:dyDescent="0.25">
      <c r="A49" s="27" t="s">
        <v>28</v>
      </c>
      <c r="B49" s="169">
        <f>Sucursal_Semanal!AM42</f>
        <v>0</v>
      </c>
      <c r="C49" s="21" t="e">
        <f t="shared" si="11"/>
        <v>#DIV/0!</v>
      </c>
      <c r="D49" s="20">
        <f>Almacen_Semanal!B31</f>
        <v>0</v>
      </c>
      <c r="E49" s="21" t="e">
        <f t="shared" si="15"/>
        <v>#DIV/0!</v>
      </c>
      <c r="F49" s="20">
        <f>Produccion_Semanal!G30</f>
        <v>0</v>
      </c>
      <c r="G49" s="21" t="e">
        <f t="shared" si="13"/>
        <v>#DIV/0!</v>
      </c>
      <c r="H49" s="12"/>
      <c r="I49" s="21"/>
      <c r="J49" s="12"/>
      <c r="K49" s="78">
        <f t="shared" si="12"/>
        <v>0</v>
      </c>
      <c r="L49" s="83" t="e">
        <f t="shared" si="14"/>
        <v>#DIV/0!</v>
      </c>
    </row>
    <row r="50" spans="1:12" x14ac:dyDescent="0.25">
      <c r="A50" s="27" t="s">
        <v>12</v>
      </c>
      <c r="B50" s="169">
        <f>Sucursal_Semanal!AM43</f>
        <v>0</v>
      </c>
      <c r="C50" s="21" t="e">
        <f t="shared" si="11"/>
        <v>#DIV/0!</v>
      </c>
      <c r="D50" s="20">
        <f>Almacen_Semanal!B32</f>
        <v>0</v>
      </c>
      <c r="E50" s="21" t="e">
        <f t="shared" si="15"/>
        <v>#DIV/0!</v>
      </c>
      <c r="F50" s="20">
        <f>Produccion_Semanal!G31</f>
        <v>0</v>
      </c>
      <c r="G50" s="21" t="e">
        <f t="shared" si="13"/>
        <v>#DIV/0!</v>
      </c>
      <c r="H50" s="12"/>
      <c r="I50" s="21"/>
      <c r="J50" s="12"/>
      <c r="K50" s="78">
        <f t="shared" si="12"/>
        <v>0</v>
      </c>
      <c r="L50" s="83" t="e">
        <f t="shared" si="14"/>
        <v>#DIV/0!</v>
      </c>
    </row>
    <row r="51" spans="1:12" x14ac:dyDescent="0.25">
      <c r="A51" s="27" t="s">
        <v>52</v>
      </c>
      <c r="B51" s="169">
        <f>Sucursal_Semanal!AM44</f>
        <v>0</v>
      </c>
      <c r="C51" s="21" t="e">
        <f t="shared" si="11"/>
        <v>#DIV/0!</v>
      </c>
      <c r="D51" s="20">
        <f>Almacen_Semanal!B33</f>
        <v>0</v>
      </c>
      <c r="E51" s="21" t="e">
        <f t="shared" si="15"/>
        <v>#DIV/0!</v>
      </c>
      <c r="F51" s="20">
        <f>Produccion_Semanal!G32</f>
        <v>0</v>
      </c>
      <c r="G51" s="21" t="e">
        <f t="shared" si="13"/>
        <v>#DIV/0!</v>
      </c>
      <c r="H51" s="12"/>
      <c r="I51" s="21"/>
      <c r="J51" s="12"/>
      <c r="K51" s="78">
        <f t="shared" si="12"/>
        <v>0</v>
      </c>
      <c r="L51" s="83" t="e">
        <f t="shared" si="14"/>
        <v>#DIV/0!</v>
      </c>
    </row>
    <row r="52" spans="1:12" x14ac:dyDescent="0.25">
      <c r="A52" s="27" t="s">
        <v>43</v>
      </c>
      <c r="B52" s="169">
        <f>Sucursal_Semanal!AM45</f>
        <v>0</v>
      </c>
      <c r="C52" s="21" t="e">
        <f t="shared" si="11"/>
        <v>#DIV/0!</v>
      </c>
      <c r="D52" s="20">
        <f>Almacen_Semanal!B34</f>
        <v>0</v>
      </c>
      <c r="E52" s="21" t="e">
        <f t="shared" si="15"/>
        <v>#DIV/0!</v>
      </c>
      <c r="F52" s="20">
        <f>Produccion_Semanal!G33</f>
        <v>0</v>
      </c>
      <c r="G52" s="21" t="e">
        <f t="shared" si="13"/>
        <v>#DIV/0!</v>
      </c>
      <c r="H52" s="12"/>
      <c r="I52" s="21"/>
      <c r="J52" s="12"/>
      <c r="K52" s="78">
        <f t="shared" si="12"/>
        <v>0</v>
      </c>
      <c r="L52" s="83" t="e">
        <f t="shared" si="14"/>
        <v>#DIV/0!</v>
      </c>
    </row>
    <row r="53" spans="1:12" x14ac:dyDescent="0.25">
      <c r="A53" s="27" t="s">
        <v>44</v>
      </c>
      <c r="B53" s="169">
        <f>Sucursal_Semanal!AM46</f>
        <v>0</v>
      </c>
      <c r="C53" s="21" t="e">
        <f t="shared" si="11"/>
        <v>#DIV/0!</v>
      </c>
      <c r="D53" s="20">
        <f>Almacen_Semanal!B35</f>
        <v>0</v>
      </c>
      <c r="E53" s="21" t="e">
        <f t="shared" si="15"/>
        <v>#DIV/0!</v>
      </c>
      <c r="F53" s="20">
        <f>Produccion_Semanal!G34</f>
        <v>0</v>
      </c>
      <c r="G53" s="21" t="e">
        <f t="shared" si="13"/>
        <v>#DIV/0!</v>
      </c>
      <c r="H53" s="12"/>
      <c r="I53" s="21"/>
      <c r="J53" s="12"/>
      <c r="K53" s="78">
        <f t="shared" si="12"/>
        <v>0</v>
      </c>
      <c r="L53" s="83" t="e">
        <f t="shared" si="14"/>
        <v>#DIV/0!</v>
      </c>
    </row>
    <row r="54" spans="1:12" x14ac:dyDescent="0.25">
      <c r="A54" s="27" t="s">
        <v>45</v>
      </c>
      <c r="B54" s="169">
        <f>Sucursal_Semanal!AM47</f>
        <v>0</v>
      </c>
      <c r="C54" s="21" t="e">
        <f t="shared" si="11"/>
        <v>#DIV/0!</v>
      </c>
      <c r="D54" s="20">
        <f>Almacen_Semanal!B36</f>
        <v>0</v>
      </c>
      <c r="E54" s="21" t="e">
        <f t="shared" si="15"/>
        <v>#DIV/0!</v>
      </c>
      <c r="F54" s="20">
        <f>Produccion_Semanal!G35</f>
        <v>0</v>
      </c>
      <c r="G54" s="21" t="e">
        <f t="shared" si="13"/>
        <v>#DIV/0!</v>
      </c>
      <c r="H54" s="12"/>
      <c r="I54" s="21"/>
      <c r="J54" s="12"/>
      <c r="K54" s="78">
        <f t="shared" si="12"/>
        <v>0</v>
      </c>
      <c r="L54" s="83" t="e">
        <f t="shared" si="14"/>
        <v>#DIV/0!</v>
      </c>
    </row>
    <row r="55" spans="1:12" x14ac:dyDescent="0.25">
      <c r="A55" s="27" t="s">
        <v>46</v>
      </c>
      <c r="B55" s="169">
        <f>Sucursal_Semanal!AM48</f>
        <v>0</v>
      </c>
      <c r="C55" s="21" t="e">
        <f t="shared" si="11"/>
        <v>#DIV/0!</v>
      </c>
      <c r="D55" s="20">
        <f>Almacen_Semanal!B37</f>
        <v>0</v>
      </c>
      <c r="E55" s="21" t="e">
        <f t="shared" si="15"/>
        <v>#DIV/0!</v>
      </c>
      <c r="F55" s="20">
        <f>Produccion_Semanal!G36</f>
        <v>0</v>
      </c>
      <c r="G55" s="21" t="e">
        <f t="shared" si="13"/>
        <v>#DIV/0!</v>
      </c>
      <c r="H55" s="12"/>
      <c r="I55" s="21"/>
      <c r="J55" s="12"/>
      <c r="K55" s="78">
        <f t="shared" si="12"/>
        <v>0</v>
      </c>
      <c r="L55" s="83" t="e">
        <f t="shared" si="14"/>
        <v>#DIV/0!</v>
      </c>
    </row>
    <row r="56" spans="1:12" x14ac:dyDescent="0.25">
      <c r="A56" s="27" t="s">
        <v>134</v>
      </c>
      <c r="B56" s="169"/>
      <c r="C56" s="21"/>
      <c r="D56" s="20">
        <f>Almacen_Semanal!B38</f>
        <v>0</v>
      </c>
      <c r="E56" s="21" t="e">
        <f t="shared" si="15"/>
        <v>#DIV/0!</v>
      </c>
      <c r="F56" s="12"/>
      <c r="G56" s="21"/>
      <c r="H56" s="12"/>
      <c r="I56" s="21"/>
      <c r="J56" s="12"/>
      <c r="K56" s="78">
        <f t="shared" si="12"/>
        <v>0</v>
      </c>
      <c r="L56" s="83" t="e">
        <f t="shared" si="14"/>
        <v>#DIV/0!</v>
      </c>
    </row>
    <row r="57" spans="1:12" x14ac:dyDescent="0.25">
      <c r="A57" s="27" t="s">
        <v>93</v>
      </c>
      <c r="B57" s="169"/>
      <c r="C57" s="21"/>
      <c r="D57" s="20">
        <f>Almacen_Semanal!B39</f>
        <v>0</v>
      </c>
      <c r="E57" s="21" t="e">
        <f t="shared" si="15"/>
        <v>#DIV/0!</v>
      </c>
      <c r="F57" s="12"/>
      <c r="G57" s="21"/>
      <c r="H57" s="12"/>
      <c r="I57" s="21"/>
      <c r="J57" s="12"/>
      <c r="K57" s="78">
        <f t="shared" si="12"/>
        <v>0</v>
      </c>
      <c r="L57" s="83" t="e">
        <f t="shared" si="14"/>
        <v>#DIV/0!</v>
      </c>
    </row>
    <row r="58" spans="1:12" x14ac:dyDescent="0.25">
      <c r="A58" s="27" t="s">
        <v>135</v>
      </c>
      <c r="B58" s="169"/>
      <c r="C58" s="21"/>
      <c r="D58" s="20">
        <f>Almacen_Semanal!B40</f>
        <v>0</v>
      </c>
      <c r="E58" s="21" t="e">
        <f t="shared" si="15"/>
        <v>#DIV/0!</v>
      </c>
      <c r="F58" s="12"/>
      <c r="G58" s="21"/>
      <c r="H58" s="12"/>
      <c r="I58" s="21"/>
      <c r="J58" s="12"/>
      <c r="K58" s="78">
        <f t="shared" si="12"/>
        <v>0</v>
      </c>
      <c r="L58" s="83" t="e">
        <f t="shared" si="14"/>
        <v>#DIV/0!</v>
      </c>
    </row>
    <row r="59" spans="1:12" x14ac:dyDescent="0.25">
      <c r="A59" s="27" t="s">
        <v>136</v>
      </c>
      <c r="B59" s="169"/>
      <c r="C59" s="21"/>
      <c r="D59" s="20">
        <f>Almacen_Semanal!B41</f>
        <v>0</v>
      </c>
      <c r="E59" s="21" t="e">
        <f t="shared" si="15"/>
        <v>#DIV/0!</v>
      </c>
      <c r="F59" s="12"/>
      <c r="G59" s="21"/>
      <c r="H59" s="12"/>
      <c r="I59" s="21"/>
      <c r="J59" s="12"/>
      <c r="K59" s="78">
        <f t="shared" si="12"/>
        <v>0</v>
      </c>
      <c r="L59" s="83" t="e">
        <f t="shared" si="14"/>
        <v>#DIV/0!</v>
      </c>
    </row>
    <row r="60" spans="1:12" x14ac:dyDescent="0.25">
      <c r="A60" s="27" t="s">
        <v>47</v>
      </c>
      <c r="B60" s="169">
        <f>Sucursal_Semanal!AM49</f>
        <v>0</v>
      </c>
      <c r="C60" s="21" t="e">
        <f>B60/$B$64</f>
        <v>#DIV/0!</v>
      </c>
      <c r="D60" s="20"/>
      <c r="E60" s="21"/>
      <c r="F60" s="20">
        <f>Produccion_Semanal!G37</f>
        <v>0</v>
      </c>
      <c r="G60" s="21" t="e">
        <f t="shared" ref="G60:G63" si="16">F60/$F$64</f>
        <v>#DIV/0!</v>
      </c>
      <c r="H60" s="12"/>
      <c r="I60" s="21"/>
      <c r="J60" s="12"/>
      <c r="K60" s="78">
        <f t="shared" si="12"/>
        <v>0</v>
      </c>
      <c r="L60" s="83" t="e">
        <f t="shared" si="14"/>
        <v>#DIV/0!</v>
      </c>
    </row>
    <row r="61" spans="1:12" x14ac:dyDescent="0.25">
      <c r="A61" s="27" t="s">
        <v>48</v>
      </c>
      <c r="B61" s="169">
        <f>Sucursal_Semanal!AM50</f>
        <v>0</v>
      </c>
      <c r="C61" s="21" t="e">
        <f>B61/$B$64</f>
        <v>#DIV/0!</v>
      </c>
      <c r="D61" s="20">
        <f>Almacen_Semanal!B43</f>
        <v>0</v>
      </c>
      <c r="E61" s="21" t="e">
        <f>D61/$D$64</f>
        <v>#DIV/0!</v>
      </c>
      <c r="F61" s="20">
        <f>Produccion_Semanal!G38</f>
        <v>0</v>
      </c>
      <c r="G61" s="21" t="e">
        <f t="shared" si="16"/>
        <v>#DIV/0!</v>
      </c>
      <c r="H61" s="12"/>
      <c r="I61" s="21"/>
      <c r="J61" s="12"/>
      <c r="K61" s="78">
        <f t="shared" si="12"/>
        <v>0</v>
      </c>
      <c r="L61" s="83" t="e">
        <f t="shared" si="14"/>
        <v>#DIV/0!</v>
      </c>
    </row>
    <row r="62" spans="1:12" x14ac:dyDescent="0.25">
      <c r="A62" s="27" t="s">
        <v>49</v>
      </c>
      <c r="B62" s="169">
        <f>Sucursal_Semanal!AM51</f>
        <v>0</v>
      </c>
      <c r="C62" s="21" t="e">
        <f>B62/$B$64</f>
        <v>#DIV/0!</v>
      </c>
      <c r="D62" s="20">
        <f>Almacen_Semanal!B44</f>
        <v>0</v>
      </c>
      <c r="E62" s="21" t="e">
        <f>D62/$D$64</f>
        <v>#DIV/0!</v>
      </c>
      <c r="F62" s="20">
        <f>Produccion_Semanal!G39</f>
        <v>0</v>
      </c>
      <c r="G62" s="21" t="e">
        <f t="shared" si="16"/>
        <v>#DIV/0!</v>
      </c>
      <c r="H62" s="12"/>
      <c r="I62" s="21"/>
      <c r="J62" s="12"/>
      <c r="K62" s="78">
        <f t="shared" si="12"/>
        <v>0</v>
      </c>
      <c r="L62" s="83" t="e">
        <f t="shared" si="14"/>
        <v>#DIV/0!</v>
      </c>
    </row>
    <row r="63" spans="1:12" x14ac:dyDescent="0.25">
      <c r="A63" s="27" t="s">
        <v>50</v>
      </c>
      <c r="B63" s="169">
        <f>Sucursal_Semanal!AM52</f>
        <v>0</v>
      </c>
      <c r="C63" s="21" t="e">
        <f>B63/$B$64</f>
        <v>#DIV/0!</v>
      </c>
      <c r="D63" s="20">
        <f>Almacen_Semanal!B42</f>
        <v>0</v>
      </c>
      <c r="E63" s="21" t="e">
        <f>D63/$D$64</f>
        <v>#DIV/0!</v>
      </c>
      <c r="F63" s="20">
        <f>Produccion_Semanal!G40</f>
        <v>0</v>
      </c>
      <c r="G63" s="21" t="e">
        <f t="shared" si="16"/>
        <v>#DIV/0!</v>
      </c>
      <c r="H63" s="12"/>
      <c r="I63" s="21"/>
      <c r="J63" s="12"/>
      <c r="K63" s="78">
        <f t="shared" si="12"/>
        <v>0</v>
      </c>
      <c r="L63" s="83" t="e">
        <f t="shared" si="14"/>
        <v>#DIV/0!</v>
      </c>
    </row>
    <row r="64" spans="1:12" x14ac:dyDescent="0.25">
      <c r="A64" s="28" t="s">
        <v>116</v>
      </c>
      <c r="B64" s="23">
        <f>SUM(B43:B63)</f>
        <v>0</v>
      </c>
      <c r="C64" s="24" t="e">
        <f>B64/K64</f>
        <v>#DIV/0!</v>
      </c>
      <c r="D64" s="23">
        <f>SUM(D43:D63)</f>
        <v>0</v>
      </c>
      <c r="E64" s="24" t="e">
        <f>D64/K64</f>
        <v>#DIV/0!</v>
      </c>
      <c r="F64" s="23">
        <f>SUM(F43:F63)</f>
        <v>0</v>
      </c>
      <c r="G64" s="24" t="e">
        <f>F64/K64</f>
        <v>#DIV/0!</v>
      </c>
      <c r="H64" s="34">
        <v>0</v>
      </c>
      <c r="I64" s="24">
        <v>0</v>
      </c>
      <c r="J64" s="12"/>
      <c r="K64" s="60">
        <f>SUM(K43:K63)</f>
        <v>0</v>
      </c>
      <c r="L64" s="61" t="e">
        <f>K64/K20</f>
        <v>#DIV/0!</v>
      </c>
    </row>
    <row r="65" spans="1:12" x14ac:dyDescent="0.25">
      <c r="A65" s="27"/>
      <c r="B65" s="12"/>
      <c r="C65" s="13"/>
      <c r="D65" s="12"/>
      <c r="E65" s="13"/>
      <c r="F65" s="12"/>
      <c r="G65" s="13"/>
      <c r="H65" s="12"/>
      <c r="I65" s="13"/>
      <c r="J65" s="12"/>
      <c r="K65" s="12"/>
    </row>
    <row r="66" spans="1:12" x14ac:dyDescent="0.25">
      <c r="A66" s="12"/>
      <c r="B66" s="12"/>
      <c r="C66" s="13"/>
      <c r="D66" s="12"/>
      <c r="E66" s="13"/>
      <c r="F66" s="12"/>
      <c r="G66" s="13"/>
      <c r="H66" s="12"/>
      <c r="I66" s="13"/>
      <c r="J66" s="12"/>
      <c r="K66" s="12"/>
    </row>
    <row r="67" spans="1:12" x14ac:dyDescent="0.25">
      <c r="A67" s="11" t="s">
        <v>62</v>
      </c>
      <c r="B67" s="12"/>
      <c r="C67" s="13"/>
      <c r="D67" s="12"/>
      <c r="E67" s="13"/>
      <c r="F67" s="12"/>
      <c r="G67" s="13"/>
      <c r="H67" s="12"/>
      <c r="I67" s="13"/>
      <c r="J67" s="12"/>
      <c r="K67" s="76"/>
      <c r="L67" s="77"/>
    </row>
    <row r="68" spans="1:12" x14ac:dyDescent="0.25">
      <c r="A68" s="27" t="s">
        <v>94</v>
      </c>
      <c r="B68" s="169">
        <f>Sucursal_Semanal!AM56</f>
        <v>0</v>
      </c>
      <c r="C68" s="21" t="e">
        <f>B68/$B$81</f>
        <v>#DIV/0!</v>
      </c>
      <c r="D68" s="169">
        <f>Almacen_Semanal!B49</f>
        <v>0</v>
      </c>
      <c r="E68" s="21" t="e">
        <f>D68/$D$81</f>
        <v>#DIV/0!</v>
      </c>
      <c r="F68" s="169">
        <f>Produccion_Semanal!G44</f>
        <v>0</v>
      </c>
      <c r="G68" s="21" t="e">
        <f>F68/$F$81</f>
        <v>#DIV/0!</v>
      </c>
      <c r="H68" s="169">
        <f>Franquicias_Semanal!B31</f>
        <v>0</v>
      </c>
      <c r="I68" s="21" t="e">
        <f>H68/$H$81</f>
        <v>#DIV/0!</v>
      </c>
      <c r="J68" s="12"/>
      <c r="K68" s="78">
        <f t="shared" ref="K68:K80" si="17">B68+D68+F68+H68</f>
        <v>0</v>
      </c>
      <c r="L68" s="83" t="e">
        <f>K68/$K$81</f>
        <v>#DIV/0!</v>
      </c>
    </row>
    <row r="69" spans="1:12" x14ac:dyDescent="0.25">
      <c r="A69" s="27" t="s">
        <v>63</v>
      </c>
      <c r="B69" s="169">
        <f>Sucursal_Semanal!AM57</f>
        <v>0</v>
      </c>
      <c r="C69" s="21" t="e">
        <f t="shared" ref="C69:C80" si="18">B69/$B$81</f>
        <v>#DIV/0!</v>
      </c>
      <c r="D69" s="169">
        <f>Almacen_Semanal!B50</f>
        <v>0</v>
      </c>
      <c r="E69" s="21" t="e">
        <f t="shared" ref="E69:E80" si="19">D69/$D$81</f>
        <v>#DIV/0!</v>
      </c>
      <c r="F69" s="169">
        <f>Produccion_Semanal!G45</f>
        <v>0</v>
      </c>
      <c r="G69" s="21" t="e">
        <f t="shared" ref="G69:G80" si="20">F69/$F$81</f>
        <v>#DIV/0!</v>
      </c>
      <c r="H69" s="169">
        <f>Franquicias_Semanal!B32</f>
        <v>0</v>
      </c>
      <c r="I69" s="21" t="e">
        <f t="shared" ref="I69:I80" si="21">H69/$H$81</f>
        <v>#DIV/0!</v>
      </c>
      <c r="J69" s="12"/>
      <c r="K69" s="78">
        <f t="shared" si="17"/>
        <v>0</v>
      </c>
      <c r="L69" s="83" t="e">
        <f t="shared" ref="L69:L80" si="22">K69/$K$81</f>
        <v>#DIV/0!</v>
      </c>
    </row>
    <row r="70" spans="1:12" x14ac:dyDescent="0.25">
      <c r="A70" s="27" t="s">
        <v>64</v>
      </c>
      <c r="B70" s="169">
        <f>Sucursal_Semanal!AM58</f>
        <v>0</v>
      </c>
      <c r="C70" s="21" t="e">
        <f t="shared" si="18"/>
        <v>#DIV/0!</v>
      </c>
      <c r="D70" s="169">
        <f>Almacen_Semanal!B51</f>
        <v>0</v>
      </c>
      <c r="E70" s="21" t="e">
        <f t="shared" si="19"/>
        <v>#DIV/0!</v>
      </c>
      <c r="F70" s="169">
        <f>Produccion_Semanal!G46</f>
        <v>0</v>
      </c>
      <c r="G70" s="21" t="e">
        <f t="shared" si="20"/>
        <v>#DIV/0!</v>
      </c>
      <c r="H70" s="169">
        <f>Franquicias_Semanal!B33</f>
        <v>0</v>
      </c>
      <c r="I70" s="21" t="e">
        <f t="shared" si="21"/>
        <v>#DIV/0!</v>
      </c>
      <c r="J70" s="12"/>
      <c r="K70" s="78">
        <f t="shared" si="17"/>
        <v>0</v>
      </c>
      <c r="L70" s="83" t="e">
        <f t="shared" si="22"/>
        <v>#DIV/0!</v>
      </c>
    </row>
    <row r="71" spans="1:12" x14ac:dyDescent="0.25">
      <c r="A71" s="27" t="s">
        <v>65</v>
      </c>
      <c r="B71" s="169">
        <f>Sucursal_Semanal!AM59</f>
        <v>0</v>
      </c>
      <c r="C71" s="21" t="e">
        <f t="shared" si="18"/>
        <v>#DIV/0!</v>
      </c>
      <c r="D71" s="169">
        <f>Almacen_Semanal!B52</f>
        <v>0</v>
      </c>
      <c r="E71" s="21" t="e">
        <f t="shared" si="19"/>
        <v>#DIV/0!</v>
      </c>
      <c r="F71" s="169">
        <f>Produccion_Semanal!G47</f>
        <v>0</v>
      </c>
      <c r="G71" s="21" t="e">
        <f t="shared" si="20"/>
        <v>#DIV/0!</v>
      </c>
      <c r="H71" s="169">
        <f>Franquicias_Semanal!B34</f>
        <v>0</v>
      </c>
      <c r="I71" s="21" t="e">
        <f t="shared" si="21"/>
        <v>#DIV/0!</v>
      </c>
      <c r="J71" s="12"/>
      <c r="K71" s="78">
        <f t="shared" si="17"/>
        <v>0</v>
      </c>
      <c r="L71" s="83" t="e">
        <f t="shared" si="22"/>
        <v>#DIV/0!</v>
      </c>
    </row>
    <row r="72" spans="1:12" x14ac:dyDescent="0.25">
      <c r="A72" s="27" t="s">
        <v>66</v>
      </c>
      <c r="B72" s="169">
        <f>Sucursal_Semanal!AM60</f>
        <v>0</v>
      </c>
      <c r="C72" s="21" t="e">
        <f t="shared" si="18"/>
        <v>#DIV/0!</v>
      </c>
      <c r="D72" s="169">
        <f>Almacen_Semanal!B53</f>
        <v>0</v>
      </c>
      <c r="E72" s="21" t="e">
        <f t="shared" si="19"/>
        <v>#DIV/0!</v>
      </c>
      <c r="F72" s="169">
        <f>Produccion_Semanal!G48</f>
        <v>0</v>
      </c>
      <c r="G72" s="21" t="e">
        <f t="shared" si="20"/>
        <v>#DIV/0!</v>
      </c>
      <c r="H72" s="169">
        <f>Franquicias_Semanal!B35</f>
        <v>0</v>
      </c>
      <c r="I72" s="21" t="e">
        <f t="shared" si="21"/>
        <v>#DIV/0!</v>
      </c>
      <c r="J72" s="12"/>
      <c r="K72" s="78">
        <f t="shared" si="17"/>
        <v>0</v>
      </c>
      <c r="L72" s="83" t="e">
        <f t="shared" si="22"/>
        <v>#DIV/0!</v>
      </c>
    </row>
    <row r="73" spans="1:12" x14ac:dyDescent="0.25">
      <c r="A73" s="27" t="s">
        <v>67</v>
      </c>
      <c r="B73" s="169">
        <f>Sucursal_Semanal!AM61</f>
        <v>0</v>
      </c>
      <c r="C73" s="21" t="e">
        <f t="shared" si="18"/>
        <v>#DIV/0!</v>
      </c>
      <c r="D73" s="169">
        <f>Almacen_Semanal!B54</f>
        <v>0</v>
      </c>
      <c r="E73" s="21" t="e">
        <f t="shared" si="19"/>
        <v>#DIV/0!</v>
      </c>
      <c r="F73" s="169">
        <f>Produccion_Semanal!G49</f>
        <v>0</v>
      </c>
      <c r="G73" s="21" t="e">
        <f t="shared" si="20"/>
        <v>#DIV/0!</v>
      </c>
      <c r="H73" s="169">
        <f>Franquicias_Semanal!B36</f>
        <v>0</v>
      </c>
      <c r="I73" s="21" t="e">
        <f t="shared" si="21"/>
        <v>#DIV/0!</v>
      </c>
      <c r="J73" s="12"/>
      <c r="K73" s="78">
        <f t="shared" si="17"/>
        <v>0</v>
      </c>
      <c r="L73" s="83" t="e">
        <f t="shared" si="22"/>
        <v>#DIV/0!</v>
      </c>
    </row>
    <row r="74" spans="1:12" x14ac:dyDescent="0.25">
      <c r="A74" s="27" t="s">
        <v>68</v>
      </c>
      <c r="B74" s="169">
        <f>Sucursal_Semanal!AM62</f>
        <v>0</v>
      </c>
      <c r="C74" s="21" t="e">
        <f t="shared" si="18"/>
        <v>#DIV/0!</v>
      </c>
      <c r="D74" s="169">
        <f>Almacen_Semanal!B55</f>
        <v>0</v>
      </c>
      <c r="E74" s="21" t="e">
        <f t="shared" si="19"/>
        <v>#DIV/0!</v>
      </c>
      <c r="F74" s="169">
        <f>Produccion_Semanal!G50</f>
        <v>0</v>
      </c>
      <c r="G74" s="21" t="e">
        <f t="shared" si="20"/>
        <v>#DIV/0!</v>
      </c>
      <c r="H74" s="169">
        <f>Franquicias_Semanal!B37</f>
        <v>0</v>
      </c>
      <c r="I74" s="21" t="e">
        <f t="shared" si="21"/>
        <v>#DIV/0!</v>
      </c>
      <c r="J74" s="12"/>
      <c r="K74" s="78">
        <f t="shared" si="17"/>
        <v>0</v>
      </c>
      <c r="L74" s="83" t="e">
        <f t="shared" si="22"/>
        <v>#DIV/0!</v>
      </c>
    </row>
    <row r="75" spans="1:12" x14ac:dyDescent="0.25">
      <c r="A75" s="27" t="s">
        <v>69</v>
      </c>
      <c r="B75" s="169">
        <f>Sucursal_Semanal!AM63</f>
        <v>0</v>
      </c>
      <c r="C75" s="21" t="e">
        <f t="shared" si="18"/>
        <v>#DIV/0!</v>
      </c>
      <c r="D75" s="169">
        <f>Almacen_Semanal!B56</f>
        <v>0</v>
      </c>
      <c r="E75" s="21" t="e">
        <f t="shared" si="19"/>
        <v>#DIV/0!</v>
      </c>
      <c r="F75" s="169">
        <f>Produccion_Semanal!G51</f>
        <v>0</v>
      </c>
      <c r="G75" s="21" t="e">
        <f t="shared" si="20"/>
        <v>#DIV/0!</v>
      </c>
      <c r="H75" s="169">
        <f>Franquicias_Semanal!B38</f>
        <v>0</v>
      </c>
      <c r="I75" s="21" t="e">
        <f t="shared" si="21"/>
        <v>#DIV/0!</v>
      </c>
      <c r="J75" s="12"/>
      <c r="K75" s="78">
        <f t="shared" si="17"/>
        <v>0</v>
      </c>
      <c r="L75" s="83" t="e">
        <f t="shared" si="22"/>
        <v>#DIV/0!</v>
      </c>
    </row>
    <row r="76" spans="1:12" x14ac:dyDescent="0.25">
      <c r="A76" s="27" t="s">
        <v>70</v>
      </c>
      <c r="B76" s="169">
        <f>Sucursal_Semanal!AM64</f>
        <v>0</v>
      </c>
      <c r="C76" s="21" t="e">
        <f t="shared" si="18"/>
        <v>#DIV/0!</v>
      </c>
      <c r="D76" s="169">
        <f>Almacen_Semanal!B57</f>
        <v>0</v>
      </c>
      <c r="E76" s="21" t="e">
        <f t="shared" si="19"/>
        <v>#DIV/0!</v>
      </c>
      <c r="F76" s="169">
        <f>Produccion_Semanal!G52</f>
        <v>0</v>
      </c>
      <c r="G76" s="21" t="e">
        <f t="shared" si="20"/>
        <v>#DIV/0!</v>
      </c>
      <c r="H76" s="169">
        <f>Franquicias_Semanal!B39</f>
        <v>0</v>
      </c>
      <c r="I76" s="21" t="e">
        <f t="shared" si="21"/>
        <v>#DIV/0!</v>
      </c>
      <c r="J76" s="12"/>
      <c r="K76" s="78">
        <f t="shared" si="17"/>
        <v>0</v>
      </c>
      <c r="L76" s="83" t="e">
        <f t="shared" si="22"/>
        <v>#DIV/0!</v>
      </c>
    </row>
    <row r="77" spans="1:12" x14ac:dyDescent="0.25">
      <c r="A77" s="27" t="s">
        <v>71</v>
      </c>
      <c r="B77" s="169">
        <f>Sucursal_Semanal!AM65</f>
        <v>0</v>
      </c>
      <c r="C77" s="21" t="e">
        <f t="shared" si="18"/>
        <v>#DIV/0!</v>
      </c>
      <c r="D77" s="169">
        <f>Almacen_Semanal!B58</f>
        <v>0</v>
      </c>
      <c r="E77" s="21" t="e">
        <f t="shared" si="19"/>
        <v>#DIV/0!</v>
      </c>
      <c r="F77" s="169">
        <f>Produccion_Semanal!G53</f>
        <v>0</v>
      </c>
      <c r="G77" s="21" t="e">
        <f t="shared" si="20"/>
        <v>#DIV/0!</v>
      </c>
      <c r="H77" s="169">
        <f>Franquicias_Semanal!B40</f>
        <v>0</v>
      </c>
      <c r="I77" s="21" t="e">
        <f t="shared" si="21"/>
        <v>#DIV/0!</v>
      </c>
      <c r="J77" s="12"/>
      <c r="K77" s="78">
        <f t="shared" si="17"/>
        <v>0</v>
      </c>
      <c r="L77" s="83" t="e">
        <f t="shared" si="22"/>
        <v>#DIV/0!</v>
      </c>
    </row>
    <row r="78" spans="1:12" x14ac:dyDescent="0.25">
      <c r="A78" s="27" t="s">
        <v>72</v>
      </c>
      <c r="B78" s="169">
        <f>Sucursal_Semanal!AM66</f>
        <v>0</v>
      </c>
      <c r="C78" s="21" t="e">
        <f t="shared" si="18"/>
        <v>#DIV/0!</v>
      </c>
      <c r="D78" s="169">
        <f>Almacen_Semanal!B59</f>
        <v>0</v>
      </c>
      <c r="E78" s="21" t="e">
        <f t="shared" si="19"/>
        <v>#DIV/0!</v>
      </c>
      <c r="F78" s="169">
        <f>Produccion_Semanal!G54</f>
        <v>0</v>
      </c>
      <c r="G78" s="21" t="e">
        <f t="shared" si="20"/>
        <v>#DIV/0!</v>
      </c>
      <c r="H78" s="169">
        <f>Franquicias_Semanal!B41</f>
        <v>0</v>
      </c>
      <c r="I78" s="21" t="e">
        <f t="shared" si="21"/>
        <v>#DIV/0!</v>
      </c>
      <c r="J78" s="12"/>
      <c r="K78" s="78">
        <f t="shared" si="17"/>
        <v>0</v>
      </c>
      <c r="L78" s="83" t="e">
        <f t="shared" si="22"/>
        <v>#DIV/0!</v>
      </c>
    </row>
    <row r="79" spans="1:12" x14ac:dyDescent="0.25">
      <c r="A79" s="27" t="s">
        <v>73</v>
      </c>
      <c r="B79" s="169">
        <f>Sucursal_Semanal!AM67</f>
        <v>0</v>
      </c>
      <c r="C79" s="21" t="e">
        <f t="shared" si="18"/>
        <v>#DIV/0!</v>
      </c>
      <c r="D79" s="169">
        <f>Almacen_Semanal!B60</f>
        <v>0</v>
      </c>
      <c r="E79" s="21" t="e">
        <f t="shared" si="19"/>
        <v>#DIV/0!</v>
      </c>
      <c r="F79" s="169">
        <f>Produccion_Semanal!G55</f>
        <v>0</v>
      </c>
      <c r="G79" s="21" t="e">
        <f t="shared" si="20"/>
        <v>#DIV/0!</v>
      </c>
      <c r="H79" s="169">
        <f>Franquicias_Semanal!B42</f>
        <v>0</v>
      </c>
      <c r="I79" s="21" t="e">
        <f t="shared" si="21"/>
        <v>#DIV/0!</v>
      </c>
      <c r="J79" s="12"/>
      <c r="K79" s="78">
        <f t="shared" si="17"/>
        <v>0</v>
      </c>
      <c r="L79" s="83" t="e">
        <f t="shared" si="22"/>
        <v>#DIV/0!</v>
      </c>
    </row>
    <row r="80" spans="1:12" x14ac:dyDescent="0.25">
      <c r="A80" s="27" t="s">
        <v>74</v>
      </c>
      <c r="B80" s="169">
        <f>Sucursal_Semanal!AM68</f>
        <v>0</v>
      </c>
      <c r="C80" s="21" t="e">
        <f t="shared" si="18"/>
        <v>#DIV/0!</v>
      </c>
      <c r="D80" s="169">
        <f>Almacen_Semanal!B61</f>
        <v>0</v>
      </c>
      <c r="E80" s="21" t="e">
        <f t="shared" si="19"/>
        <v>#DIV/0!</v>
      </c>
      <c r="F80" s="169">
        <f>Produccion_Semanal!G56</f>
        <v>0</v>
      </c>
      <c r="G80" s="21" t="e">
        <f t="shared" si="20"/>
        <v>#DIV/0!</v>
      </c>
      <c r="H80" s="169">
        <f>Franquicias_Semanal!B43</f>
        <v>0</v>
      </c>
      <c r="I80" s="21" t="e">
        <f t="shared" si="21"/>
        <v>#DIV/0!</v>
      </c>
      <c r="J80" s="12"/>
      <c r="K80" s="78">
        <f t="shared" si="17"/>
        <v>0</v>
      </c>
      <c r="L80" s="83" t="e">
        <f t="shared" si="22"/>
        <v>#DIV/0!</v>
      </c>
    </row>
    <row r="81" spans="1:12" x14ac:dyDescent="0.25">
      <c r="A81" s="28" t="s">
        <v>75</v>
      </c>
      <c r="B81" s="23">
        <f>SUM(B68:B80)</f>
        <v>0</v>
      </c>
      <c r="C81" s="24" t="e">
        <f>B81/$K$81</f>
        <v>#DIV/0!</v>
      </c>
      <c r="D81" s="23">
        <f>SUM(D68:D80)</f>
        <v>0</v>
      </c>
      <c r="E81" s="24" t="e">
        <f>D81/$K$81</f>
        <v>#DIV/0!</v>
      </c>
      <c r="F81" s="23">
        <f>SUM(F68:F80)</f>
        <v>0</v>
      </c>
      <c r="G81" s="24" t="e">
        <f>F81/$K$81</f>
        <v>#DIV/0!</v>
      </c>
      <c r="H81" s="23">
        <f>SUM(H68:H80)</f>
        <v>0</v>
      </c>
      <c r="I81" s="24" t="e">
        <f>H81/$K$81</f>
        <v>#DIV/0!</v>
      </c>
      <c r="J81" s="12"/>
      <c r="K81" s="60">
        <f>SUM(K68:K80)</f>
        <v>0</v>
      </c>
      <c r="L81" s="61" t="e">
        <f>K81/K20</f>
        <v>#DIV/0!</v>
      </c>
    </row>
    <row r="82" spans="1:12" x14ac:dyDescent="0.25">
      <c r="A82" s="27"/>
      <c r="B82" s="12"/>
      <c r="C82" s="13"/>
      <c r="D82" s="12"/>
      <c r="E82" s="13"/>
      <c r="F82" s="12"/>
      <c r="G82" s="13"/>
      <c r="H82" s="12"/>
      <c r="I82" s="13"/>
      <c r="J82" s="12"/>
      <c r="K82" s="12"/>
    </row>
    <row r="83" spans="1:12" x14ac:dyDescent="0.25">
      <c r="A83" s="63" t="s">
        <v>76</v>
      </c>
      <c r="B83" s="64">
        <f>B20-B31-B40-B64-B81</f>
        <v>0</v>
      </c>
      <c r="C83" s="65" t="e">
        <f>B83/K83</f>
        <v>#DIV/0!</v>
      </c>
      <c r="D83" s="64">
        <f>D20-D31-D40-D64-D81</f>
        <v>0</v>
      </c>
      <c r="E83" s="65" t="e">
        <f>D83/K83</f>
        <v>#DIV/0!</v>
      </c>
      <c r="F83" s="64">
        <f>F20-F31-F40-F64-F81</f>
        <v>0</v>
      </c>
      <c r="G83" s="65" t="e">
        <f>F83/K83</f>
        <v>#DIV/0!</v>
      </c>
      <c r="H83" s="64">
        <f>H20-H31-H40-H64-H81</f>
        <v>0</v>
      </c>
      <c r="I83" s="66" t="e">
        <f>H83/K83</f>
        <v>#DIV/0!</v>
      </c>
      <c r="J83" s="12"/>
      <c r="K83" s="67">
        <f>B83+D83+F83+H83</f>
        <v>0</v>
      </c>
      <c r="L83" s="68" t="e">
        <f>K83/K20</f>
        <v>#DIV/0!</v>
      </c>
    </row>
    <row r="84" spans="1:12" x14ac:dyDescent="0.25">
      <c r="A84" s="12"/>
      <c r="B84" s="12"/>
      <c r="C84" s="13"/>
      <c r="D84" s="12"/>
      <c r="E84" s="13"/>
      <c r="F84" s="12"/>
      <c r="G84" s="13"/>
      <c r="H84" s="12"/>
      <c r="I84" s="13"/>
      <c r="J84" s="12"/>
      <c r="K84" s="12"/>
    </row>
    <row r="85" spans="1:12" x14ac:dyDescent="0.25">
      <c r="A85" s="11" t="s">
        <v>96</v>
      </c>
      <c r="B85" s="12"/>
      <c r="C85" s="13"/>
      <c r="D85" s="46"/>
      <c r="E85" s="46"/>
      <c r="F85" s="46"/>
      <c r="G85" s="46"/>
      <c r="H85" s="46"/>
      <c r="I85" s="46"/>
      <c r="J85" s="46"/>
      <c r="K85" s="84"/>
      <c r="L85" s="85"/>
    </row>
    <row r="86" spans="1:12" x14ac:dyDescent="0.25">
      <c r="A86" s="27" t="s">
        <v>77</v>
      </c>
      <c r="B86" s="169" t="e">
        <f>Sucursal_Semanal!AM74</f>
        <v>#DIV/0!</v>
      </c>
      <c r="C86" s="21" t="e">
        <f>B86/$B$88</f>
        <v>#DIV/0!</v>
      </c>
      <c r="D86" s="169" t="e">
        <f>Almacen_Semanal!B67</f>
        <v>#DIV/0!</v>
      </c>
      <c r="E86" s="21" t="e">
        <f>D86/$D$88</f>
        <v>#DIV/0!</v>
      </c>
      <c r="F86" s="20" t="e">
        <f>Produccion_Semanal!G63</f>
        <v>#DIV/0!</v>
      </c>
      <c r="G86" s="21" t="e">
        <f>F86/$F$88</f>
        <v>#DIV/0!</v>
      </c>
      <c r="H86" s="20" t="e">
        <f>Franquicias_Semanal!B49</f>
        <v>#DIV/0!</v>
      </c>
      <c r="I86" s="21" t="e">
        <f>H86/$H$88</f>
        <v>#DIV/0!</v>
      </c>
      <c r="J86" s="46"/>
      <c r="K86" s="82" t="e">
        <f>B86+D86+F86+H86</f>
        <v>#DIV/0!</v>
      </c>
      <c r="L86" s="83" t="e">
        <f>K86/K20</f>
        <v>#DIV/0!</v>
      </c>
    </row>
    <row r="87" spans="1:12" x14ac:dyDescent="0.25">
      <c r="A87" s="27" t="s">
        <v>78</v>
      </c>
      <c r="B87" s="20">
        <f>Sucursal_Semanal!AM75</f>
        <v>0</v>
      </c>
      <c r="C87" s="21" t="e">
        <f>B87/$B$88</f>
        <v>#DIV/0!</v>
      </c>
      <c r="D87" s="20">
        <f>Almacen_Semanal!B68</f>
        <v>0</v>
      </c>
      <c r="E87" s="21" t="e">
        <f>D87/$D$88</f>
        <v>#DIV/0!</v>
      </c>
      <c r="F87" s="20">
        <f>Produccion_Semanal!G64</f>
        <v>0</v>
      </c>
      <c r="G87" s="21" t="e">
        <f>F87/$F$88</f>
        <v>#DIV/0!</v>
      </c>
      <c r="H87" s="20">
        <f>Franquicias_Semanal!B50</f>
        <v>0</v>
      </c>
      <c r="I87" s="21" t="e">
        <f>H87/$H$88</f>
        <v>#DIV/0!</v>
      </c>
      <c r="J87" s="46"/>
      <c r="K87" s="82">
        <f>B87+D87+F87+H87</f>
        <v>0</v>
      </c>
      <c r="L87" s="83" t="e">
        <f>K87/K20</f>
        <v>#DIV/0!</v>
      </c>
    </row>
    <row r="88" spans="1:12" x14ac:dyDescent="0.25">
      <c r="A88" s="28" t="s">
        <v>79</v>
      </c>
      <c r="B88" s="23" t="e">
        <f>SUM(B86:B87)</f>
        <v>#DIV/0!</v>
      </c>
      <c r="C88" s="24" t="e">
        <f>B88/K88</f>
        <v>#DIV/0!</v>
      </c>
      <c r="D88" s="23" t="e">
        <f>SUM(D86:D87)</f>
        <v>#DIV/0!</v>
      </c>
      <c r="E88" s="24" t="e">
        <f>D88/K88</f>
        <v>#DIV/0!</v>
      </c>
      <c r="F88" s="23" t="e">
        <f>SUM(F86:F87)</f>
        <v>#DIV/0!</v>
      </c>
      <c r="G88" s="24" t="e">
        <f>F88/K88</f>
        <v>#DIV/0!</v>
      </c>
      <c r="H88" s="23" t="e">
        <f>SUM(H86:H87)</f>
        <v>#DIV/0!</v>
      </c>
      <c r="I88" s="24" t="e">
        <f>H88/K88</f>
        <v>#DIV/0!</v>
      </c>
      <c r="J88" s="46"/>
      <c r="K88" s="60" t="e">
        <f>SUM(K86:K87)</f>
        <v>#DIV/0!</v>
      </c>
      <c r="L88" s="61" t="e">
        <f>K88/K20</f>
        <v>#DIV/0!</v>
      </c>
    </row>
    <row r="89" spans="1:12" x14ac:dyDescent="0.25">
      <c r="A89" s="12"/>
      <c r="B89" s="12"/>
      <c r="C89" s="13"/>
      <c r="D89" s="12"/>
      <c r="E89" s="13"/>
      <c r="F89" s="12"/>
      <c r="G89" s="13"/>
      <c r="H89" s="12"/>
      <c r="I89" s="13"/>
      <c r="J89" s="46"/>
      <c r="K89" s="46"/>
    </row>
    <row r="90" spans="1:12" x14ac:dyDescent="0.25">
      <c r="A90" s="69" t="s">
        <v>80</v>
      </c>
      <c r="B90" s="70" t="e">
        <f>B83-B88</f>
        <v>#DIV/0!</v>
      </c>
      <c r="C90" s="71" t="e">
        <f>B90/$K$90</f>
        <v>#DIV/0!</v>
      </c>
      <c r="D90" s="70" t="e">
        <f>D83-D88</f>
        <v>#DIV/0!</v>
      </c>
      <c r="E90" s="71" t="e">
        <f>D90/$K$90</f>
        <v>#DIV/0!</v>
      </c>
      <c r="F90" s="70" t="e">
        <f>F83-F88</f>
        <v>#DIV/0!</v>
      </c>
      <c r="G90" s="71" t="e">
        <f>F90/$K$90</f>
        <v>#DIV/0!</v>
      </c>
      <c r="H90" s="70" t="e">
        <f>H83-H88</f>
        <v>#DIV/0!</v>
      </c>
      <c r="I90" s="71" t="e">
        <f>H90/$K$90</f>
        <v>#DIV/0!</v>
      </c>
      <c r="J90" s="72"/>
      <c r="K90" s="73" t="e">
        <f>B90+D90+F90+H90</f>
        <v>#DIV/0!</v>
      </c>
      <c r="L90" s="74" t="e">
        <f>K90/K20</f>
        <v>#DIV/0!</v>
      </c>
    </row>
    <row r="91" spans="1:12" x14ac:dyDescent="0.25">
      <c r="A91" s="12"/>
      <c r="B91" s="12"/>
      <c r="C91" s="13"/>
      <c r="D91" s="12"/>
      <c r="E91" s="13"/>
      <c r="F91" s="12"/>
      <c r="G91" s="13"/>
      <c r="H91" s="12"/>
      <c r="I91" s="13"/>
      <c r="J91" s="12"/>
      <c r="K91" s="12"/>
      <c r="L91" s="46"/>
    </row>
    <row r="92" spans="1:12" x14ac:dyDescent="0.25">
      <c r="A92" s="15" t="s">
        <v>81</v>
      </c>
      <c r="B92" s="12"/>
      <c r="C92" s="13"/>
      <c r="D92" s="12"/>
      <c r="E92" s="13"/>
      <c r="F92" s="12"/>
      <c r="G92" s="13"/>
      <c r="H92" s="12"/>
      <c r="I92" s="13"/>
      <c r="J92" s="46"/>
      <c r="K92" s="46"/>
      <c r="L92" s="13"/>
    </row>
    <row r="93" spans="1:12" x14ac:dyDescent="0.25">
      <c r="A93" s="12"/>
      <c r="B93" s="12">
        <v>0</v>
      </c>
      <c r="C93" s="13"/>
      <c r="D93" s="12">
        <v>0</v>
      </c>
      <c r="E93" s="13"/>
      <c r="F93" s="12">
        <v>0</v>
      </c>
      <c r="G93" s="13"/>
      <c r="H93" s="12">
        <v>0</v>
      </c>
      <c r="I93" s="13"/>
      <c r="J93" s="12"/>
      <c r="K93" s="12">
        <f>B93+D93+F93+H93</f>
        <v>0</v>
      </c>
      <c r="L93" s="13"/>
    </row>
    <row r="94" spans="1:12" x14ac:dyDescent="0.25">
      <c r="A94" s="12"/>
      <c r="B94" s="12">
        <v>0</v>
      </c>
      <c r="C94" s="13"/>
      <c r="D94" s="12">
        <v>0</v>
      </c>
      <c r="E94" s="13"/>
      <c r="F94" s="12">
        <v>0</v>
      </c>
      <c r="G94" s="13"/>
      <c r="H94" s="12">
        <v>0</v>
      </c>
      <c r="I94" s="13"/>
      <c r="J94" s="12"/>
      <c r="K94" s="12">
        <f t="shared" ref="K94:K99" si="23">B94+D94+F94+H94</f>
        <v>0</v>
      </c>
      <c r="L94" s="13"/>
    </row>
    <row r="95" spans="1:12" x14ac:dyDescent="0.25">
      <c r="A95" s="12"/>
      <c r="B95" s="12">
        <v>0</v>
      </c>
      <c r="C95" s="13"/>
      <c r="D95" s="12">
        <v>0</v>
      </c>
      <c r="E95" s="13"/>
      <c r="F95" s="12">
        <v>0</v>
      </c>
      <c r="G95" s="13"/>
      <c r="H95" s="12">
        <v>0</v>
      </c>
      <c r="I95" s="13"/>
      <c r="J95" s="12"/>
      <c r="K95" s="12">
        <f t="shared" si="23"/>
        <v>0</v>
      </c>
      <c r="L95" s="13"/>
    </row>
    <row r="96" spans="1:12" x14ac:dyDescent="0.25">
      <c r="A96" s="27"/>
      <c r="B96" s="12">
        <v>0</v>
      </c>
      <c r="C96" s="13"/>
      <c r="D96" s="12">
        <v>0</v>
      </c>
      <c r="E96" s="13"/>
      <c r="F96" s="12">
        <v>0</v>
      </c>
      <c r="G96" s="13"/>
      <c r="H96" s="12">
        <v>0</v>
      </c>
      <c r="I96" s="13"/>
      <c r="J96" s="12"/>
      <c r="K96" s="12">
        <f t="shared" si="23"/>
        <v>0</v>
      </c>
      <c r="L96" s="13"/>
    </row>
    <row r="97" spans="1:12" x14ac:dyDescent="0.25">
      <c r="A97" s="27"/>
      <c r="B97" s="12">
        <v>0</v>
      </c>
      <c r="C97" s="13"/>
      <c r="D97" s="12">
        <v>0</v>
      </c>
      <c r="E97" s="13"/>
      <c r="F97" s="12">
        <v>0</v>
      </c>
      <c r="G97" s="13"/>
      <c r="H97" s="12">
        <v>0</v>
      </c>
      <c r="I97" s="13"/>
      <c r="J97" s="12"/>
      <c r="K97" s="12">
        <f t="shared" si="23"/>
        <v>0</v>
      </c>
      <c r="L97" s="13"/>
    </row>
    <row r="98" spans="1:12" x14ac:dyDescent="0.25">
      <c r="A98" s="27"/>
      <c r="B98" s="12">
        <v>0</v>
      </c>
      <c r="C98" s="13"/>
      <c r="D98" s="12">
        <v>0</v>
      </c>
      <c r="E98" s="13"/>
      <c r="F98" s="12">
        <v>0</v>
      </c>
      <c r="G98" s="13"/>
      <c r="H98" s="12">
        <v>0</v>
      </c>
      <c r="I98" s="13"/>
      <c r="J98" s="12"/>
      <c r="K98" s="12">
        <f t="shared" si="23"/>
        <v>0</v>
      </c>
      <c r="L98" s="13"/>
    </row>
    <row r="99" spans="1:12" x14ac:dyDescent="0.25">
      <c r="A99" s="27"/>
      <c r="B99" s="12">
        <v>0</v>
      </c>
      <c r="C99" s="13"/>
      <c r="D99" s="12">
        <v>0</v>
      </c>
      <c r="E99" s="13"/>
      <c r="F99" s="12">
        <v>0</v>
      </c>
      <c r="G99" s="13"/>
      <c r="H99" s="12">
        <v>0</v>
      </c>
      <c r="I99" s="13"/>
      <c r="J99" s="12"/>
      <c r="K99" s="12">
        <f t="shared" si="23"/>
        <v>0</v>
      </c>
      <c r="L99" s="13"/>
    </row>
    <row r="100" spans="1:12" x14ac:dyDescent="0.25">
      <c r="A100" s="34" t="s">
        <v>82</v>
      </c>
      <c r="B100" s="34">
        <f>SUM(B93:B99)</f>
        <v>0</v>
      </c>
      <c r="C100" s="13"/>
      <c r="D100" s="34">
        <f>SUM(D93:D99)</f>
        <v>0</v>
      </c>
      <c r="E100" s="13"/>
      <c r="F100" s="34">
        <f>SUM(F93:F99)</f>
        <v>0</v>
      </c>
      <c r="G100" s="13"/>
      <c r="H100" s="34">
        <f>SUM(H93:H99)</f>
        <v>0</v>
      </c>
      <c r="I100" s="13"/>
      <c r="J100" s="12"/>
      <c r="K100" s="34">
        <f>SUM(K93:K99)</f>
        <v>0</v>
      </c>
      <c r="L100" s="13"/>
    </row>
  </sheetData>
  <mergeCells count="8">
    <mergeCell ref="J1:K1"/>
    <mergeCell ref="J2:K2"/>
    <mergeCell ref="J3:K3"/>
    <mergeCell ref="K4:L5"/>
    <mergeCell ref="B5:C5"/>
    <mergeCell ref="D5:E5"/>
    <mergeCell ref="F5:G5"/>
    <mergeCell ref="H5:I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L10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7" sqref="D17"/>
    </sheetView>
  </sheetViews>
  <sheetFormatPr baseColWidth="10" defaultRowHeight="15" x14ac:dyDescent="0.25"/>
  <cols>
    <col min="1" max="1" width="38.7109375" bestFit="1" customWidth="1"/>
    <col min="11" max="11" width="12" bestFit="1" customWidth="1"/>
  </cols>
  <sheetData>
    <row r="1" spans="1:12" x14ac:dyDescent="0.25">
      <c r="A1" s="11" t="s">
        <v>31</v>
      </c>
      <c r="B1" s="12"/>
      <c r="C1" s="13"/>
      <c r="D1" s="12"/>
      <c r="E1" s="13"/>
      <c r="F1" s="12"/>
      <c r="G1" s="13"/>
      <c r="H1" s="12"/>
      <c r="I1" s="13"/>
      <c r="J1" s="222"/>
      <c r="K1" s="222"/>
      <c r="L1" s="13"/>
    </row>
    <row r="2" spans="1:12" x14ac:dyDescent="0.25">
      <c r="A2" s="11" t="s">
        <v>32</v>
      </c>
      <c r="B2" s="12"/>
      <c r="C2" s="13"/>
      <c r="D2" s="12"/>
      <c r="E2" s="13"/>
      <c r="F2" s="12"/>
      <c r="G2" s="13"/>
      <c r="H2" s="12"/>
      <c r="I2" s="13"/>
      <c r="J2" s="222"/>
      <c r="K2" s="222"/>
      <c r="L2" s="13"/>
    </row>
    <row r="3" spans="1:12" x14ac:dyDescent="0.25">
      <c r="A3" s="58" t="s">
        <v>110</v>
      </c>
      <c r="B3" s="12"/>
      <c r="C3" s="13"/>
      <c r="D3" s="12"/>
      <c r="E3" s="13"/>
      <c r="F3" s="12"/>
      <c r="G3" s="13"/>
      <c r="H3" s="12"/>
      <c r="I3" s="13"/>
      <c r="J3" s="222"/>
      <c r="K3" s="222"/>
      <c r="L3" s="13"/>
    </row>
    <row r="4" spans="1:12" x14ac:dyDescent="0.25">
      <c r="A4" s="12"/>
      <c r="B4" s="12"/>
      <c r="C4" s="13"/>
      <c r="D4" s="12"/>
      <c r="E4" s="13"/>
      <c r="F4" s="12"/>
      <c r="G4" s="13"/>
      <c r="H4" s="12"/>
      <c r="I4" s="13"/>
      <c r="J4" s="12"/>
      <c r="K4" s="223" t="s">
        <v>245</v>
      </c>
      <c r="L4" s="223"/>
    </row>
    <row r="5" spans="1:12" ht="15.75" thickBot="1" x14ac:dyDescent="0.3">
      <c r="A5" s="12"/>
      <c r="B5" s="227" t="s">
        <v>33</v>
      </c>
      <c r="C5" s="227"/>
      <c r="D5" s="227" t="s">
        <v>111</v>
      </c>
      <c r="E5" s="227"/>
      <c r="F5" s="227" t="s">
        <v>112</v>
      </c>
      <c r="G5" s="227"/>
      <c r="H5" s="227" t="s">
        <v>113</v>
      </c>
      <c r="I5" s="227"/>
      <c r="J5" s="12"/>
      <c r="K5" s="223"/>
      <c r="L5" s="223"/>
    </row>
    <row r="6" spans="1:12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6" t="s">
        <v>36</v>
      </c>
      <c r="G6" s="16" t="s">
        <v>37</v>
      </c>
      <c r="H6" s="16" t="s">
        <v>36</v>
      </c>
      <c r="I6" s="16" t="s">
        <v>37</v>
      </c>
      <c r="J6" s="12"/>
      <c r="K6" s="59" t="s">
        <v>36</v>
      </c>
      <c r="L6" s="59" t="s">
        <v>37</v>
      </c>
    </row>
    <row r="7" spans="1:12" x14ac:dyDescent="0.25">
      <c r="A7" s="17"/>
      <c r="B7" s="18"/>
      <c r="C7" s="18"/>
      <c r="D7" s="18"/>
      <c r="E7" s="18"/>
      <c r="F7" s="18"/>
      <c r="G7" s="18"/>
      <c r="H7" s="18"/>
      <c r="I7" s="18"/>
      <c r="J7" s="12"/>
      <c r="K7" s="79"/>
      <c r="L7" s="80"/>
    </row>
    <row r="8" spans="1:12" x14ac:dyDescent="0.25">
      <c r="A8" t="s">
        <v>86</v>
      </c>
      <c r="B8" s="169">
        <f>Sucursal_Semanal!AM8</f>
        <v>0</v>
      </c>
      <c r="C8" s="21" t="e">
        <f>B8/$B$20</f>
        <v>#DIV/0!</v>
      </c>
      <c r="D8" s="12"/>
      <c r="E8" s="13"/>
      <c r="F8" s="12"/>
      <c r="G8" s="13"/>
      <c r="H8" s="12"/>
      <c r="I8" s="13"/>
      <c r="J8" s="12"/>
      <c r="K8" s="78">
        <f>B8+D8+F8+H8</f>
        <v>0</v>
      </c>
      <c r="L8" s="77"/>
    </row>
    <row r="9" spans="1:12" x14ac:dyDescent="0.25">
      <c r="A9" t="s">
        <v>87</v>
      </c>
      <c r="B9" s="75">
        <f>Sucursal_Semanal!AM9</f>
        <v>0</v>
      </c>
      <c r="C9" s="21" t="e">
        <f t="shared" ref="C9:C12" si="0">B9/$B$20</f>
        <v>#DIV/0!</v>
      </c>
      <c r="D9" s="12"/>
      <c r="E9" s="13"/>
      <c r="F9" s="12"/>
      <c r="G9" s="13"/>
      <c r="H9" s="12"/>
      <c r="I9" s="13"/>
      <c r="J9" s="12"/>
      <c r="K9" s="78">
        <f t="shared" ref="K9:K20" si="1">B9+D9+F9+H9</f>
        <v>0</v>
      </c>
      <c r="L9" s="77"/>
    </row>
    <row r="10" spans="1:12" x14ac:dyDescent="0.25">
      <c r="A10" t="s">
        <v>88</v>
      </c>
      <c r="B10" s="75">
        <f>Sucursal_Semanal!AM10</f>
        <v>0</v>
      </c>
      <c r="C10" s="21" t="e">
        <f t="shared" si="0"/>
        <v>#DIV/0!</v>
      </c>
      <c r="D10" s="12"/>
      <c r="E10" s="13"/>
      <c r="F10" s="12"/>
      <c r="G10" s="13"/>
      <c r="H10" s="12"/>
      <c r="I10" s="13"/>
      <c r="J10" s="12"/>
      <c r="K10" s="78">
        <f t="shared" si="1"/>
        <v>0</v>
      </c>
      <c r="L10" s="77"/>
    </row>
    <row r="11" spans="1:12" x14ac:dyDescent="0.25">
      <c r="A11" t="s">
        <v>89</v>
      </c>
      <c r="B11" s="75">
        <f>Sucursal_Semanal!AM11</f>
        <v>0</v>
      </c>
      <c r="C11" s="21" t="e">
        <f t="shared" si="0"/>
        <v>#DIV/0!</v>
      </c>
      <c r="D11" s="12"/>
      <c r="E11" s="13"/>
      <c r="F11" s="12"/>
      <c r="G11" s="13"/>
      <c r="H11" s="12"/>
      <c r="I11" s="13"/>
      <c r="J11" s="12"/>
      <c r="K11" s="78">
        <f t="shared" si="1"/>
        <v>0</v>
      </c>
      <c r="L11" s="77"/>
    </row>
    <row r="12" spans="1:12" x14ac:dyDescent="0.25">
      <c r="A12" t="s">
        <v>90</v>
      </c>
      <c r="B12" s="75">
        <f>Sucursal_Semanal!AM12</f>
        <v>0</v>
      </c>
      <c r="C12" s="21" t="e">
        <f t="shared" si="0"/>
        <v>#DIV/0!</v>
      </c>
      <c r="D12" s="12"/>
      <c r="E12" s="13"/>
      <c r="F12" s="12"/>
      <c r="G12" s="13"/>
      <c r="H12" s="12"/>
      <c r="I12" s="13"/>
      <c r="J12" s="12"/>
      <c r="K12" s="78">
        <f t="shared" si="1"/>
        <v>0</v>
      </c>
      <c r="L12" s="77"/>
    </row>
    <row r="13" spans="1:12" x14ac:dyDescent="0.25">
      <c r="A13" s="19" t="s">
        <v>27</v>
      </c>
      <c r="B13" s="12"/>
      <c r="C13" s="13"/>
      <c r="D13" s="20">
        <f>Almacen!B8</f>
        <v>0</v>
      </c>
      <c r="E13" s="21" t="e">
        <f>D13/$D$20</f>
        <v>#DIV/0!</v>
      </c>
      <c r="F13" s="20">
        <f>Produccion!G7</f>
        <v>0</v>
      </c>
      <c r="G13" s="21" t="e">
        <f>F13/$F$20</f>
        <v>#DIV/0!</v>
      </c>
      <c r="H13" s="12"/>
      <c r="I13" s="13"/>
      <c r="J13" s="12"/>
      <c r="K13" s="78"/>
      <c r="L13" s="77"/>
    </row>
    <row r="14" spans="1:12" x14ac:dyDescent="0.25">
      <c r="A14" s="19" t="s">
        <v>22</v>
      </c>
      <c r="B14" s="12"/>
      <c r="C14" s="13"/>
      <c r="D14" s="20">
        <f>Almacen!B9</f>
        <v>0</v>
      </c>
      <c r="E14" s="21" t="e">
        <f t="shared" ref="E14:E15" si="2">D14/$D$20</f>
        <v>#DIV/0!</v>
      </c>
      <c r="F14" s="12"/>
      <c r="G14" s="13"/>
      <c r="H14" s="12"/>
      <c r="I14" s="13"/>
      <c r="J14" s="12"/>
      <c r="K14" s="78"/>
      <c r="L14" s="77"/>
    </row>
    <row r="15" spans="1:12" x14ac:dyDescent="0.25">
      <c r="A15" s="19" t="s">
        <v>92</v>
      </c>
      <c r="B15" s="12"/>
      <c r="C15" s="13"/>
      <c r="D15" s="20">
        <f>Almacen!B10</f>
        <v>0</v>
      </c>
      <c r="E15" s="21" t="e">
        <f t="shared" si="2"/>
        <v>#DIV/0!</v>
      </c>
      <c r="F15" s="12"/>
      <c r="G15" s="13"/>
      <c r="H15" s="12"/>
      <c r="I15" s="13"/>
      <c r="J15" s="12"/>
      <c r="K15" s="78"/>
      <c r="L15" s="77"/>
    </row>
    <row r="16" spans="1:12" x14ac:dyDescent="0.25">
      <c r="A16" s="19" t="s">
        <v>98</v>
      </c>
      <c r="B16" s="12"/>
      <c r="C16" s="13"/>
      <c r="D16" s="12"/>
      <c r="E16" s="13"/>
      <c r="F16" s="20">
        <f>Produccion!G8</f>
        <v>0</v>
      </c>
      <c r="G16" s="21" t="e">
        <f>F16/$F$20</f>
        <v>#DIV/0!</v>
      </c>
      <c r="H16" s="12"/>
      <c r="I16" s="13"/>
      <c r="J16" s="12"/>
      <c r="K16" s="78"/>
      <c r="L16" s="77"/>
    </row>
    <row r="17" spans="1:12" x14ac:dyDescent="0.25">
      <c r="A17" s="19" t="s">
        <v>99</v>
      </c>
      <c r="B17" s="12"/>
      <c r="C17" s="13"/>
      <c r="D17" s="12"/>
      <c r="E17" s="13"/>
      <c r="F17" s="20">
        <f>Produccion!G9</f>
        <v>0</v>
      </c>
      <c r="G17" s="21" t="e">
        <f>F17/$F$20</f>
        <v>#DIV/0!</v>
      </c>
      <c r="H17" s="12"/>
      <c r="I17" s="13"/>
      <c r="J17" s="12"/>
      <c r="K17" s="78"/>
      <c r="L17" s="77"/>
    </row>
    <row r="18" spans="1:12" x14ac:dyDescent="0.25">
      <c r="A18" s="27" t="s">
        <v>109</v>
      </c>
      <c r="B18" s="12"/>
      <c r="C18" s="13"/>
      <c r="D18" s="12"/>
      <c r="E18" s="13"/>
      <c r="F18" s="12"/>
      <c r="G18" s="13"/>
      <c r="H18" s="20">
        <f>Franquicias!B7</f>
        <v>0</v>
      </c>
      <c r="I18" s="21" t="e">
        <f>H18/$H$20</f>
        <v>#DIV/0!</v>
      </c>
      <c r="J18" s="12"/>
      <c r="K18" s="78">
        <f t="shared" si="1"/>
        <v>0</v>
      </c>
      <c r="L18" s="77"/>
    </row>
    <row r="19" spans="1:12" x14ac:dyDescent="0.25">
      <c r="A19" s="27" t="s">
        <v>102</v>
      </c>
      <c r="B19" s="12"/>
      <c r="C19" s="13"/>
      <c r="D19" s="12"/>
      <c r="E19" s="13"/>
      <c r="F19" s="12"/>
      <c r="G19" s="13"/>
      <c r="H19" s="20">
        <f>Franquicias!B8</f>
        <v>0</v>
      </c>
      <c r="I19" s="21" t="e">
        <f>H19/$H$20</f>
        <v>#DIV/0!</v>
      </c>
      <c r="J19" s="12"/>
      <c r="K19" s="78">
        <f t="shared" si="1"/>
        <v>0</v>
      </c>
      <c r="L19" s="77"/>
    </row>
    <row r="20" spans="1:12" x14ac:dyDescent="0.25">
      <c r="A20" s="22" t="s">
        <v>38</v>
      </c>
      <c r="B20" s="23">
        <f>SUM(B8:B19)</f>
        <v>0</v>
      </c>
      <c r="C20" s="24" t="e">
        <f>B20/K20</f>
        <v>#DIV/0!</v>
      </c>
      <c r="D20" s="23">
        <f>SUM(D8:D19)</f>
        <v>0</v>
      </c>
      <c r="E20" s="24" t="e">
        <f>D20/K20</f>
        <v>#DIV/0!</v>
      </c>
      <c r="F20" s="23">
        <f>SUM(F8:F19)</f>
        <v>0</v>
      </c>
      <c r="G20" s="24" t="e">
        <f>F20/K20</f>
        <v>#DIV/0!</v>
      </c>
      <c r="H20" s="23">
        <f>SUM(H8:H19)</f>
        <v>0</v>
      </c>
      <c r="I20" s="24" t="e">
        <f>H20/K20</f>
        <v>#DIV/0!</v>
      </c>
      <c r="J20" s="17"/>
      <c r="K20" s="60">
        <f t="shared" si="1"/>
        <v>0</v>
      </c>
      <c r="L20" s="61" t="e">
        <f>C20+E20+G20+I20</f>
        <v>#DIV/0!</v>
      </c>
    </row>
    <row r="21" spans="1:12" x14ac:dyDescent="0.25">
      <c r="A21" s="25"/>
      <c r="B21" s="12"/>
      <c r="C21" s="13"/>
      <c r="D21" s="12"/>
      <c r="E21" s="13"/>
      <c r="F21" s="12"/>
      <c r="G21" s="13"/>
      <c r="H21" s="12"/>
      <c r="I21" s="13"/>
      <c r="J21" s="12"/>
      <c r="K21" s="79"/>
      <c r="L21" s="80"/>
    </row>
    <row r="22" spans="1:12" x14ac:dyDescent="0.25">
      <c r="A22" s="26" t="s">
        <v>53</v>
      </c>
      <c r="B22" s="12"/>
      <c r="C22" s="13"/>
      <c r="D22" s="12"/>
      <c r="E22" s="13"/>
      <c r="F22" s="12"/>
      <c r="G22" s="13"/>
      <c r="H22" s="12"/>
      <c r="I22" s="13"/>
      <c r="J22" s="12"/>
      <c r="K22" s="76"/>
      <c r="L22" s="77"/>
    </row>
    <row r="23" spans="1:12" x14ac:dyDescent="0.25">
      <c r="A23" s="19" t="s">
        <v>24</v>
      </c>
      <c r="B23" s="169">
        <f>Sucursal_Semanal!AM16</f>
        <v>0</v>
      </c>
      <c r="C23" s="48" t="e">
        <f>B23/$B$31</f>
        <v>#DIV/0!</v>
      </c>
      <c r="D23" s="20">
        <f>Almacen!B14</f>
        <v>0</v>
      </c>
      <c r="E23" s="48" t="e">
        <f>D23/$D$31</f>
        <v>#DIV/0!</v>
      </c>
      <c r="F23" s="20">
        <f>Produccion!G13</f>
        <v>0</v>
      </c>
      <c r="G23" s="48" t="e">
        <f>F23/$F$31</f>
        <v>#DIV/0!</v>
      </c>
      <c r="H23" s="12"/>
      <c r="I23" s="13"/>
      <c r="J23" s="12"/>
      <c r="K23" s="78">
        <f t="shared" ref="K23:K30" si="3">B23+D23+F23+H23</f>
        <v>0</v>
      </c>
      <c r="L23" s="77"/>
    </row>
    <row r="24" spans="1:12" x14ac:dyDescent="0.25">
      <c r="A24" s="19" t="s">
        <v>21</v>
      </c>
      <c r="B24" s="169">
        <f>Sucursal_Semanal!AM17</f>
        <v>0</v>
      </c>
      <c r="C24" s="48" t="e">
        <f t="shared" ref="C24:C30" si="4">B24/$B$31</f>
        <v>#DIV/0!</v>
      </c>
      <c r="D24" s="20">
        <f>Almacen!B15</f>
        <v>0</v>
      </c>
      <c r="E24" s="48" t="e">
        <f t="shared" ref="E24:E30" si="5">D24/$D$31</f>
        <v>#DIV/0!</v>
      </c>
      <c r="F24" s="20">
        <f>Produccion!G14</f>
        <v>0</v>
      </c>
      <c r="G24" s="48" t="e">
        <f t="shared" ref="G24:G30" si="6">F24/$F$31</f>
        <v>#DIV/0!</v>
      </c>
      <c r="H24" s="12"/>
      <c r="I24" s="13"/>
      <c r="J24" s="12"/>
      <c r="K24" s="78">
        <f t="shared" si="3"/>
        <v>0</v>
      </c>
      <c r="L24" s="77"/>
    </row>
    <row r="25" spans="1:12" x14ac:dyDescent="0.25">
      <c r="A25" s="27" t="s">
        <v>54</v>
      </c>
      <c r="B25" s="169">
        <f>Sucursal_Semanal!AM18</f>
        <v>0</v>
      </c>
      <c r="C25" s="48" t="e">
        <f t="shared" si="4"/>
        <v>#DIV/0!</v>
      </c>
      <c r="D25" s="20">
        <f>Almacen!B16</f>
        <v>0</v>
      </c>
      <c r="E25" s="48" t="e">
        <f t="shared" si="5"/>
        <v>#DIV/0!</v>
      </c>
      <c r="F25" s="20">
        <f>Produccion!G15</f>
        <v>0</v>
      </c>
      <c r="G25" s="48" t="e">
        <f t="shared" si="6"/>
        <v>#DIV/0!</v>
      </c>
      <c r="H25" s="12"/>
      <c r="I25" s="13"/>
      <c r="J25" s="12"/>
      <c r="K25" s="78">
        <f t="shared" si="3"/>
        <v>0</v>
      </c>
      <c r="L25" s="77"/>
    </row>
    <row r="26" spans="1:12" x14ac:dyDescent="0.25">
      <c r="A26" s="19" t="s">
        <v>29</v>
      </c>
      <c r="B26" s="169">
        <f>Sucursal_Semanal!AM19</f>
        <v>0</v>
      </c>
      <c r="C26" s="48" t="e">
        <f t="shared" si="4"/>
        <v>#DIV/0!</v>
      </c>
      <c r="D26" s="20">
        <f>Almacen!B17</f>
        <v>0</v>
      </c>
      <c r="E26" s="48" t="e">
        <f t="shared" si="5"/>
        <v>#DIV/0!</v>
      </c>
      <c r="F26" s="20">
        <f>Produccion!G16</f>
        <v>0</v>
      </c>
      <c r="G26" s="48" t="e">
        <f t="shared" si="6"/>
        <v>#DIV/0!</v>
      </c>
      <c r="H26" s="12"/>
      <c r="I26" s="13"/>
      <c r="J26" s="12"/>
      <c r="K26" s="78">
        <f t="shared" si="3"/>
        <v>0</v>
      </c>
      <c r="L26" s="77"/>
    </row>
    <row r="27" spans="1:12" x14ac:dyDescent="0.25">
      <c r="A27" s="19" t="s">
        <v>55</v>
      </c>
      <c r="B27" s="169">
        <f>Sucursal_Semanal!AM20</f>
        <v>0</v>
      </c>
      <c r="C27" s="48" t="e">
        <f t="shared" si="4"/>
        <v>#DIV/0!</v>
      </c>
      <c r="D27" s="20">
        <f>Almacen!B18</f>
        <v>0</v>
      </c>
      <c r="E27" s="48" t="e">
        <f t="shared" si="5"/>
        <v>#DIV/0!</v>
      </c>
      <c r="F27" s="20">
        <f>Produccion!G17</f>
        <v>0</v>
      </c>
      <c r="G27" s="48" t="e">
        <f t="shared" si="6"/>
        <v>#DIV/0!</v>
      </c>
      <c r="H27" s="12"/>
      <c r="I27" s="13"/>
      <c r="J27" s="12"/>
      <c r="K27" s="78">
        <f t="shared" si="3"/>
        <v>0</v>
      </c>
      <c r="L27" s="77"/>
    </row>
    <row r="28" spans="1:12" x14ac:dyDescent="0.25">
      <c r="A28" s="19" t="s">
        <v>56</v>
      </c>
      <c r="B28" s="169">
        <f>Sucursal_Semanal!AM21</f>
        <v>0</v>
      </c>
      <c r="C28" s="48" t="e">
        <f t="shared" si="4"/>
        <v>#DIV/0!</v>
      </c>
      <c r="D28" s="20">
        <f>Almacen!B19</f>
        <v>0</v>
      </c>
      <c r="E28" s="48" t="e">
        <f t="shared" si="5"/>
        <v>#DIV/0!</v>
      </c>
      <c r="F28" s="20">
        <f>Produccion!G18</f>
        <v>0</v>
      </c>
      <c r="G28" s="48" t="e">
        <f t="shared" si="6"/>
        <v>#DIV/0!</v>
      </c>
      <c r="H28" s="12"/>
      <c r="I28" s="13"/>
      <c r="J28" s="12"/>
      <c r="K28" s="78">
        <f t="shared" si="3"/>
        <v>0</v>
      </c>
      <c r="L28" s="77"/>
    </row>
    <row r="29" spans="1:12" x14ac:dyDescent="0.25">
      <c r="A29" s="27" t="s">
        <v>25</v>
      </c>
      <c r="B29" s="169">
        <f>Sucursal_Semanal!AM22</f>
        <v>0</v>
      </c>
      <c r="C29" s="48" t="e">
        <f t="shared" si="4"/>
        <v>#DIV/0!</v>
      </c>
      <c r="D29" s="20">
        <f>Almacen!B20</f>
        <v>0</v>
      </c>
      <c r="E29" s="48" t="e">
        <f t="shared" si="5"/>
        <v>#DIV/0!</v>
      </c>
      <c r="F29" s="20">
        <f>Produccion!G19</f>
        <v>0</v>
      </c>
      <c r="G29" s="48" t="e">
        <f t="shared" si="6"/>
        <v>#DIV/0!</v>
      </c>
      <c r="H29" s="12"/>
      <c r="I29" s="13"/>
      <c r="J29" s="12"/>
      <c r="K29" s="78">
        <f t="shared" si="3"/>
        <v>0</v>
      </c>
      <c r="L29" s="77"/>
    </row>
    <row r="30" spans="1:12" x14ac:dyDescent="0.25">
      <c r="A30" s="27" t="s">
        <v>57</v>
      </c>
      <c r="B30" s="169">
        <f>Sucursal_Semanal!AM23</f>
        <v>0</v>
      </c>
      <c r="C30" s="48" t="e">
        <f t="shared" si="4"/>
        <v>#DIV/0!</v>
      </c>
      <c r="D30" s="20">
        <f>Almacen!B21</f>
        <v>0</v>
      </c>
      <c r="E30" s="48" t="e">
        <f t="shared" si="5"/>
        <v>#DIV/0!</v>
      </c>
      <c r="F30" s="20">
        <f>Produccion!G20</f>
        <v>0</v>
      </c>
      <c r="G30" s="48" t="e">
        <f t="shared" si="6"/>
        <v>#DIV/0!</v>
      </c>
      <c r="H30" s="12"/>
      <c r="I30" s="13"/>
      <c r="J30" s="12"/>
      <c r="K30" s="78">
        <f t="shared" si="3"/>
        <v>0</v>
      </c>
      <c r="L30" s="77"/>
    </row>
    <row r="31" spans="1:12" x14ac:dyDescent="0.25">
      <c r="A31" s="28" t="s">
        <v>58</v>
      </c>
      <c r="B31" s="23">
        <f>SUM(B23:B30)</f>
        <v>0</v>
      </c>
      <c r="C31" s="24" t="e">
        <f>B31/$K$31</f>
        <v>#DIV/0!</v>
      </c>
      <c r="D31" s="23">
        <f>SUM(D23:D30)</f>
        <v>0</v>
      </c>
      <c r="E31" s="24" t="e">
        <f>D31/K31</f>
        <v>#DIV/0!</v>
      </c>
      <c r="F31" s="23">
        <f>SUM(F23:F30)</f>
        <v>0</v>
      </c>
      <c r="G31" s="24" t="e">
        <f>F31/$K$31</f>
        <v>#DIV/0!</v>
      </c>
      <c r="H31" s="34">
        <v>0</v>
      </c>
      <c r="I31" s="24">
        <v>0</v>
      </c>
      <c r="J31" s="12"/>
      <c r="K31" s="60">
        <f>SUM(K23:K27)-K28-K29-K30</f>
        <v>0</v>
      </c>
      <c r="L31" s="61" t="e">
        <f>K31/K20</f>
        <v>#DIV/0!</v>
      </c>
    </row>
    <row r="32" spans="1:12" x14ac:dyDescent="0.25">
      <c r="A32" s="11"/>
      <c r="B32" s="12"/>
      <c r="C32" s="13"/>
      <c r="D32" s="12"/>
      <c r="E32" s="13"/>
      <c r="F32" s="12"/>
      <c r="G32" s="13"/>
      <c r="H32" s="12"/>
      <c r="I32" s="13"/>
      <c r="J32" s="12"/>
      <c r="K32" s="79"/>
      <c r="L32" s="81"/>
    </row>
    <row r="33" spans="1:12" x14ac:dyDescent="0.25">
      <c r="A33" s="62" t="s">
        <v>59</v>
      </c>
      <c r="B33" s="38">
        <f>B20-B31</f>
        <v>0</v>
      </c>
      <c r="C33" s="39" t="e">
        <f>B33/B20</f>
        <v>#DIV/0!</v>
      </c>
      <c r="D33" s="38">
        <f>D20-D31</f>
        <v>0</v>
      </c>
      <c r="E33" s="39" t="e">
        <f>D33/D20</f>
        <v>#DIV/0!</v>
      </c>
      <c r="F33" s="38">
        <f>F20-F31</f>
        <v>0</v>
      </c>
      <c r="G33" s="39" t="e">
        <f>F33/F20</f>
        <v>#DIV/0!</v>
      </c>
      <c r="H33" s="38">
        <f>H20-H31</f>
        <v>0</v>
      </c>
      <c r="I33" s="39" t="e">
        <f>H33/H20</f>
        <v>#DIV/0!</v>
      </c>
      <c r="J33" s="12"/>
      <c r="K33" s="60">
        <f>K20-K31</f>
        <v>0</v>
      </c>
      <c r="L33" s="61" t="e">
        <f>K33/K20</f>
        <v>#DIV/0!</v>
      </c>
    </row>
    <row r="34" spans="1:12" x14ac:dyDescent="0.25">
      <c r="A34" s="11"/>
      <c r="B34" s="12"/>
      <c r="C34" s="13"/>
      <c r="D34" s="12"/>
      <c r="E34" s="13"/>
      <c r="F34" s="12"/>
      <c r="G34" s="13"/>
      <c r="H34" s="12"/>
      <c r="I34" s="13"/>
      <c r="J34" s="12"/>
      <c r="K34" s="79"/>
      <c r="L34" s="81"/>
    </row>
    <row r="35" spans="1:12" x14ac:dyDescent="0.25">
      <c r="A35" s="86" t="s">
        <v>60</v>
      </c>
      <c r="B35" s="87"/>
      <c r="C35" s="88"/>
      <c r="D35" s="87"/>
      <c r="E35" s="88"/>
      <c r="F35" s="87"/>
      <c r="G35" s="88"/>
      <c r="H35" s="87"/>
      <c r="I35" s="88"/>
      <c r="J35" s="87"/>
      <c r="K35" s="89"/>
      <c r="L35" s="90"/>
    </row>
    <row r="36" spans="1:12" x14ac:dyDescent="0.25">
      <c r="A36" s="87" t="s">
        <v>130</v>
      </c>
      <c r="B36" s="91">
        <f>Sucursal_Semanal!AM29</f>
        <v>0</v>
      </c>
      <c r="C36" s="92" t="e">
        <f>B36/$B$40</f>
        <v>#DIV/0!</v>
      </c>
      <c r="D36" s="91"/>
      <c r="E36" s="92"/>
      <c r="F36" s="91"/>
      <c r="G36" s="92"/>
      <c r="H36" s="91"/>
      <c r="I36" s="92"/>
      <c r="J36" s="87"/>
      <c r="K36" s="93">
        <f t="shared" ref="K36:K39" si="7">B36+D36+F36+H36</f>
        <v>0</v>
      </c>
      <c r="L36" s="94" t="e">
        <f>K36/$K$40</f>
        <v>#DIV/0!</v>
      </c>
    </row>
    <row r="37" spans="1:12" x14ac:dyDescent="0.25">
      <c r="A37" s="87" t="s">
        <v>131</v>
      </c>
      <c r="B37" s="91">
        <f>Sucursal_Semanal!AM30</f>
        <v>0</v>
      </c>
      <c r="C37" s="92" t="e">
        <f t="shared" ref="C37:C39" si="8">B37/$B$40</f>
        <v>#DIV/0!</v>
      </c>
      <c r="D37" s="91"/>
      <c r="E37" s="92"/>
      <c r="F37" s="91"/>
      <c r="G37" s="92"/>
      <c r="H37" s="91"/>
      <c r="I37" s="92"/>
      <c r="J37" s="87"/>
      <c r="K37" s="93">
        <f t="shared" si="7"/>
        <v>0</v>
      </c>
      <c r="L37" s="94" t="e">
        <f t="shared" ref="L37:L39" si="9">K37/$K$40</f>
        <v>#DIV/0!</v>
      </c>
    </row>
    <row r="38" spans="1:12" x14ac:dyDescent="0.25">
      <c r="A38" s="87" t="s">
        <v>132</v>
      </c>
      <c r="B38" s="91">
        <f>Sucursal_Semanal!AM31</f>
        <v>0</v>
      </c>
      <c r="C38" s="92" t="e">
        <f t="shared" si="8"/>
        <v>#DIV/0!</v>
      </c>
      <c r="D38" s="91"/>
      <c r="E38" s="92"/>
      <c r="F38" s="91"/>
      <c r="G38" s="92"/>
      <c r="H38" s="91"/>
      <c r="I38" s="92"/>
      <c r="J38" s="87"/>
      <c r="K38" s="93">
        <f t="shared" si="7"/>
        <v>0</v>
      </c>
      <c r="L38" s="94" t="e">
        <f t="shared" si="9"/>
        <v>#DIV/0!</v>
      </c>
    </row>
    <row r="39" spans="1:12" x14ac:dyDescent="0.25">
      <c r="A39" s="87" t="s">
        <v>133</v>
      </c>
      <c r="B39" s="91">
        <f>Sucursal_Semanal!AM32</f>
        <v>0</v>
      </c>
      <c r="C39" s="92" t="e">
        <f t="shared" si="8"/>
        <v>#DIV/0!</v>
      </c>
      <c r="D39" s="91"/>
      <c r="E39" s="92"/>
      <c r="F39" s="91"/>
      <c r="G39" s="92"/>
      <c r="H39" s="91"/>
      <c r="I39" s="92"/>
      <c r="J39" s="87"/>
      <c r="K39" s="93">
        <f t="shared" si="7"/>
        <v>0</v>
      </c>
      <c r="L39" s="94" t="e">
        <f t="shared" si="9"/>
        <v>#DIV/0!</v>
      </c>
    </row>
    <row r="40" spans="1:12" x14ac:dyDescent="0.25">
      <c r="A40" s="28" t="s">
        <v>61</v>
      </c>
      <c r="B40" s="95">
        <f t="shared" ref="B40:I40" si="10">SUM(B36:B39)</f>
        <v>0</v>
      </c>
      <c r="C40" s="96" t="e">
        <f>B40/K40</f>
        <v>#DIV/0!</v>
      </c>
      <c r="D40" s="95">
        <f t="shared" si="10"/>
        <v>0</v>
      </c>
      <c r="E40" s="96">
        <f t="shared" si="10"/>
        <v>0</v>
      </c>
      <c r="F40" s="95">
        <f t="shared" si="10"/>
        <v>0</v>
      </c>
      <c r="G40" s="96">
        <f t="shared" si="10"/>
        <v>0</v>
      </c>
      <c r="H40" s="95">
        <f t="shared" si="10"/>
        <v>0</v>
      </c>
      <c r="I40" s="96">
        <f t="shared" si="10"/>
        <v>0</v>
      </c>
      <c r="J40" s="87"/>
      <c r="K40" s="97">
        <f>SUM(K36:K39)</f>
        <v>0</v>
      </c>
      <c r="L40" s="98" t="e">
        <f>K40/K20</f>
        <v>#DIV/0!</v>
      </c>
    </row>
    <row r="41" spans="1:12" x14ac:dyDescent="0.25">
      <c r="A41" s="11"/>
      <c r="B41" s="99"/>
      <c r="C41" s="100"/>
      <c r="D41" s="99"/>
      <c r="E41" s="100"/>
      <c r="F41" s="99"/>
      <c r="G41" s="100"/>
      <c r="H41" s="99"/>
      <c r="I41" s="100"/>
      <c r="J41" s="87"/>
      <c r="K41" s="80"/>
      <c r="L41" s="80"/>
    </row>
    <row r="42" spans="1:12" x14ac:dyDescent="0.25">
      <c r="A42" s="51" t="s">
        <v>114</v>
      </c>
      <c r="B42" s="12"/>
      <c r="C42" s="13"/>
      <c r="D42" s="12"/>
      <c r="E42" s="13"/>
      <c r="F42" s="12"/>
      <c r="G42" s="13"/>
      <c r="H42" s="12"/>
      <c r="I42" s="13"/>
      <c r="J42" s="12"/>
      <c r="K42" s="76"/>
      <c r="L42" s="77"/>
    </row>
    <row r="43" spans="1:12" x14ac:dyDescent="0.25">
      <c r="A43" s="27" t="s">
        <v>30</v>
      </c>
      <c r="B43" s="169">
        <f>Sucursal_Semanal!AM36</f>
        <v>0</v>
      </c>
      <c r="C43" s="21" t="e">
        <f t="shared" ref="C43:C55" si="11">B43/$B$64</f>
        <v>#DIV/0!</v>
      </c>
      <c r="D43" s="20">
        <f>Almacen!B27</f>
        <v>0</v>
      </c>
      <c r="E43" s="21" t="e">
        <f>D43/$D$64</f>
        <v>#DIV/0!</v>
      </c>
      <c r="F43" s="20">
        <f>Produccion!G26</f>
        <v>0</v>
      </c>
      <c r="G43" s="21" t="e">
        <f>F43/$F$64</f>
        <v>#DIV/0!</v>
      </c>
      <c r="H43" s="12"/>
      <c r="I43" s="21"/>
      <c r="J43" s="12"/>
      <c r="K43" s="78">
        <f t="shared" ref="K43:K45" si="12">B43+D43+F43+H43</f>
        <v>0</v>
      </c>
      <c r="L43" s="83" t="e">
        <f>K43/$K$64</f>
        <v>#DIV/0!</v>
      </c>
    </row>
    <row r="44" spans="1:12" x14ac:dyDescent="0.25">
      <c r="A44" s="27" t="s">
        <v>115</v>
      </c>
      <c r="B44" s="169">
        <f>Sucursal_Semanal!AM37</f>
        <v>0</v>
      </c>
      <c r="C44" s="21" t="e">
        <f t="shared" si="11"/>
        <v>#DIV/0!</v>
      </c>
      <c r="D44" s="20"/>
      <c r="E44" s="21"/>
      <c r="F44" s="12"/>
      <c r="G44" s="21" t="e">
        <f t="shared" ref="G44:G55" si="13">F44/$F$64</f>
        <v>#DIV/0!</v>
      </c>
      <c r="H44" s="12"/>
      <c r="I44" s="21"/>
      <c r="J44" s="12"/>
      <c r="K44" s="78">
        <f t="shared" si="12"/>
        <v>0</v>
      </c>
      <c r="L44" s="83" t="e">
        <f t="shared" ref="L44:L46" si="14">K44/$K$64</f>
        <v>#DIV/0!</v>
      </c>
    </row>
    <row r="45" spans="1:12" x14ac:dyDescent="0.25">
      <c r="A45" s="27" t="s">
        <v>40</v>
      </c>
      <c r="B45" s="169">
        <f>Sucursal_Semanal!AM38</f>
        <v>0</v>
      </c>
      <c r="C45" s="21" t="e">
        <f t="shared" si="11"/>
        <v>#DIV/0!</v>
      </c>
      <c r="D45" s="20"/>
      <c r="E45" s="21"/>
      <c r="F45" s="12"/>
      <c r="G45" s="21" t="e">
        <f t="shared" si="13"/>
        <v>#DIV/0!</v>
      </c>
      <c r="H45" s="12"/>
      <c r="I45" s="21"/>
      <c r="J45" s="12"/>
      <c r="K45" s="78">
        <f t="shared" si="12"/>
        <v>0</v>
      </c>
      <c r="L45" s="83" t="e">
        <f t="shared" si="14"/>
        <v>#DIV/0!</v>
      </c>
    </row>
    <row r="46" spans="1:12" x14ac:dyDescent="0.25">
      <c r="A46" s="27" t="s">
        <v>26</v>
      </c>
      <c r="B46" s="169">
        <f>Sucursal_Semanal!AM39</f>
        <v>0</v>
      </c>
      <c r="C46" s="21" t="e">
        <f t="shared" si="11"/>
        <v>#DIV/0!</v>
      </c>
      <c r="D46" s="20">
        <f>Almacen!B28</f>
        <v>0</v>
      </c>
      <c r="E46" s="21" t="e">
        <f t="shared" ref="E46:E59" si="15">D46/$D$64</f>
        <v>#DIV/0!</v>
      </c>
      <c r="F46" s="20">
        <f>Produccion!G27</f>
        <v>0</v>
      </c>
      <c r="G46" s="21" t="e">
        <f t="shared" si="13"/>
        <v>#DIV/0!</v>
      </c>
      <c r="H46" s="12"/>
      <c r="I46" s="21"/>
      <c r="J46" s="12"/>
      <c r="K46" s="78">
        <f t="shared" ref="K46:K63" si="16">B46+D46+F46+H46</f>
        <v>0</v>
      </c>
      <c r="L46" s="83" t="e">
        <f t="shared" si="14"/>
        <v>#DIV/0!</v>
      </c>
    </row>
    <row r="47" spans="1:12" x14ac:dyDescent="0.25">
      <c r="A47" s="27" t="s">
        <v>41</v>
      </c>
      <c r="B47" s="169">
        <f>Sucursal_Semanal!AM40</f>
        <v>0</v>
      </c>
      <c r="C47" s="21" t="e">
        <f t="shared" si="11"/>
        <v>#DIV/0!</v>
      </c>
      <c r="D47" s="20">
        <f>Almacen!B29</f>
        <v>0</v>
      </c>
      <c r="E47" s="21" t="e">
        <f t="shared" si="15"/>
        <v>#DIV/0!</v>
      </c>
      <c r="F47" s="20">
        <f>Produccion!G28</f>
        <v>0</v>
      </c>
      <c r="G47" s="21" t="e">
        <f t="shared" si="13"/>
        <v>#DIV/0!</v>
      </c>
      <c r="H47" s="12"/>
      <c r="I47" s="21"/>
      <c r="J47" s="12"/>
      <c r="K47" s="78">
        <f t="shared" si="16"/>
        <v>0</v>
      </c>
      <c r="L47" s="83" t="e">
        <f t="shared" ref="L47:L63" si="17">K47/$K$64</f>
        <v>#DIV/0!</v>
      </c>
    </row>
    <row r="48" spans="1:12" x14ac:dyDescent="0.25">
      <c r="A48" s="27" t="s">
        <v>42</v>
      </c>
      <c r="B48" s="169">
        <f>Sucursal_Semanal!AM41</f>
        <v>0</v>
      </c>
      <c r="C48" s="21" t="e">
        <f t="shared" si="11"/>
        <v>#DIV/0!</v>
      </c>
      <c r="D48" s="20">
        <f>Almacen!B30</f>
        <v>0</v>
      </c>
      <c r="E48" s="21" t="e">
        <f t="shared" si="15"/>
        <v>#DIV/0!</v>
      </c>
      <c r="F48" s="20">
        <f>Produccion!G29</f>
        <v>0</v>
      </c>
      <c r="G48" s="21" t="e">
        <f t="shared" si="13"/>
        <v>#DIV/0!</v>
      </c>
      <c r="H48" s="12"/>
      <c r="I48" s="21"/>
      <c r="J48" s="12"/>
      <c r="K48" s="78">
        <f t="shared" si="16"/>
        <v>0</v>
      </c>
      <c r="L48" s="83" t="e">
        <f t="shared" si="17"/>
        <v>#DIV/0!</v>
      </c>
    </row>
    <row r="49" spans="1:12" x14ac:dyDescent="0.25">
      <c r="A49" s="27" t="s">
        <v>28</v>
      </c>
      <c r="B49" s="169">
        <f>Sucursal_Semanal!AM42</f>
        <v>0</v>
      </c>
      <c r="C49" s="21" t="e">
        <f t="shared" si="11"/>
        <v>#DIV/0!</v>
      </c>
      <c r="D49" s="20">
        <f>Almacen!B31</f>
        <v>0</v>
      </c>
      <c r="E49" s="21" t="e">
        <f t="shared" si="15"/>
        <v>#DIV/0!</v>
      </c>
      <c r="F49" s="20">
        <f>Produccion!G30</f>
        <v>0</v>
      </c>
      <c r="G49" s="21" t="e">
        <f t="shared" si="13"/>
        <v>#DIV/0!</v>
      </c>
      <c r="H49" s="12"/>
      <c r="I49" s="21"/>
      <c r="J49" s="12"/>
      <c r="K49" s="78">
        <f t="shared" si="16"/>
        <v>0</v>
      </c>
      <c r="L49" s="83" t="e">
        <f t="shared" si="17"/>
        <v>#DIV/0!</v>
      </c>
    </row>
    <row r="50" spans="1:12" x14ac:dyDescent="0.25">
      <c r="A50" s="27" t="s">
        <v>12</v>
      </c>
      <c r="B50" s="169">
        <f>Sucursal_Semanal!AM43</f>
        <v>0</v>
      </c>
      <c r="C50" s="21" t="e">
        <f t="shared" si="11"/>
        <v>#DIV/0!</v>
      </c>
      <c r="D50" s="20">
        <f>Almacen!B32</f>
        <v>0</v>
      </c>
      <c r="E50" s="21" t="e">
        <f t="shared" si="15"/>
        <v>#DIV/0!</v>
      </c>
      <c r="F50" s="20">
        <f>Produccion!G31</f>
        <v>0</v>
      </c>
      <c r="G50" s="21" t="e">
        <f t="shared" si="13"/>
        <v>#DIV/0!</v>
      </c>
      <c r="H50" s="12"/>
      <c r="I50" s="21"/>
      <c r="J50" s="12"/>
      <c r="K50" s="78">
        <f t="shared" si="16"/>
        <v>0</v>
      </c>
      <c r="L50" s="83" t="e">
        <f t="shared" si="17"/>
        <v>#DIV/0!</v>
      </c>
    </row>
    <row r="51" spans="1:12" x14ac:dyDescent="0.25">
      <c r="A51" s="27" t="s">
        <v>52</v>
      </c>
      <c r="B51" s="169">
        <f>Sucursal_Semanal!AM44</f>
        <v>0</v>
      </c>
      <c r="C51" s="21" t="e">
        <f t="shared" si="11"/>
        <v>#DIV/0!</v>
      </c>
      <c r="D51" s="20">
        <f>Almacen!B33</f>
        <v>0</v>
      </c>
      <c r="E51" s="21" t="e">
        <f t="shared" si="15"/>
        <v>#DIV/0!</v>
      </c>
      <c r="F51" s="20">
        <f>Produccion!G32</f>
        <v>0</v>
      </c>
      <c r="G51" s="21" t="e">
        <f t="shared" si="13"/>
        <v>#DIV/0!</v>
      </c>
      <c r="H51" s="12"/>
      <c r="I51" s="21"/>
      <c r="J51" s="12"/>
      <c r="K51" s="78">
        <f t="shared" si="16"/>
        <v>0</v>
      </c>
      <c r="L51" s="83" t="e">
        <f t="shared" si="17"/>
        <v>#DIV/0!</v>
      </c>
    </row>
    <row r="52" spans="1:12" x14ac:dyDescent="0.25">
      <c r="A52" s="27" t="s">
        <v>43</v>
      </c>
      <c r="B52" s="169">
        <f>Sucursal_Semanal!AM45</f>
        <v>0</v>
      </c>
      <c r="C52" s="21" t="e">
        <f t="shared" si="11"/>
        <v>#DIV/0!</v>
      </c>
      <c r="D52" s="20">
        <f>Almacen!B34</f>
        <v>0</v>
      </c>
      <c r="E52" s="21" t="e">
        <f t="shared" si="15"/>
        <v>#DIV/0!</v>
      </c>
      <c r="F52" s="20">
        <f>Produccion!G33</f>
        <v>0</v>
      </c>
      <c r="G52" s="21" t="e">
        <f t="shared" si="13"/>
        <v>#DIV/0!</v>
      </c>
      <c r="H52" s="12"/>
      <c r="I52" s="21"/>
      <c r="J52" s="12"/>
      <c r="K52" s="78">
        <f t="shared" si="16"/>
        <v>0</v>
      </c>
      <c r="L52" s="83" t="e">
        <f t="shared" si="17"/>
        <v>#DIV/0!</v>
      </c>
    </row>
    <row r="53" spans="1:12" x14ac:dyDescent="0.25">
      <c r="A53" s="27" t="s">
        <v>44</v>
      </c>
      <c r="B53" s="169">
        <f>Sucursal_Semanal!AM46</f>
        <v>0</v>
      </c>
      <c r="C53" s="21" t="e">
        <f t="shared" si="11"/>
        <v>#DIV/0!</v>
      </c>
      <c r="D53" s="20">
        <f>Almacen!B35</f>
        <v>0</v>
      </c>
      <c r="E53" s="21" t="e">
        <f t="shared" si="15"/>
        <v>#DIV/0!</v>
      </c>
      <c r="F53" s="20">
        <f>Produccion!G34</f>
        <v>0</v>
      </c>
      <c r="G53" s="21" t="e">
        <f t="shared" si="13"/>
        <v>#DIV/0!</v>
      </c>
      <c r="H53" s="12"/>
      <c r="I53" s="21"/>
      <c r="J53" s="12"/>
      <c r="K53" s="78">
        <f t="shared" si="16"/>
        <v>0</v>
      </c>
      <c r="L53" s="83" t="e">
        <f t="shared" si="17"/>
        <v>#DIV/0!</v>
      </c>
    </row>
    <row r="54" spans="1:12" x14ac:dyDescent="0.25">
      <c r="A54" s="27" t="s">
        <v>45</v>
      </c>
      <c r="B54" s="169">
        <f>Sucursal_Semanal!AM47</f>
        <v>0</v>
      </c>
      <c r="C54" s="21" t="e">
        <f t="shared" si="11"/>
        <v>#DIV/0!</v>
      </c>
      <c r="D54" s="20">
        <f>Almacen!B36</f>
        <v>0</v>
      </c>
      <c r="E54" s="21" t="e">
        <f t="shared" si="15"/>
        <v>#DIV/0!</v>
      </c>
      <c r="F54" s="20">
        <f>Produccion!G35</f>
        <v>0</v>
      </c>
      <c r="G54" s="21" t="e">
        <f t="shared" si="13"/>
        <v>#DIV/0!</v>
      </c>
      <c r="H54" s="12"/>
      <c r="I54" s="21"/>
      <c r="J54" s="12"/>
      <c r="K54" s="78">
        <f t="shared" si="16"/>
        <v>0</v>
      </c>
      <c r="L54" s="83" t="e">
        <f t="shared" si="17"/>
        <v>#DIV/0!</v>
      </c>
    </row>
    <row r="55" spans="1:12" x14ac:dyDescent="0.25">
      <c r="A55" s="27" t="s">
        <v>46</v>
      </c>
      <c r="B55" s="169">
        <f>Sucursal_Semanal!AM48</f>
        <v>0</v>
      </c>
      <c r="C55" s="21" t="e">
        <f t="shared" si="11"/>
        <v>#DIV/0!</v>
      </c>
      <c r="D55" s="20">
        <f>Almacen!B37</f>
        <v>0</v>
      </c>
      <c r="E55" s="21" t="e">
        <f t="shared" si="15"/>
        <v>#DIV/0!</v>
      </c>
      <c r="F55" s="20">
        <f>Produccion!G36</f>
        <v>0</v>
      </c>
      <c r="G55" s="21" t="e">
        <f t="shared" si="13"/>
        <v>#DIV/0!</v>
      </c>
      <c r="H55" s="12"/>
      <c r="I55" s="21"/>
      <c r="J55" s="12"/>
      <c r="K55" s="78">
        <f t="shared" si="16"/>
        <v>0</v>
      </c>
      <c r="L55" s="83" t="e">
        <f t="shared" si="17"/>
        <v>#DIV/0!</v>
      </c>
    </row>
    <row r="56" spans="1:12" x14ac:dyDescent="0.25">
      <c r="A56" s="27" t="s">
        <v>134</v>
      </c>
      <c r="B56" s="169"/>
      <c r="C56" s="21"/>
      <c r="D56" s="20">
        <f>Almacen!B38</f>
        <v>0</v>
      </c>
      <c r="E56" s="21" t="e">
        <f t="shared" si="15"/>
        <v>#DIV/0!</v>
      </c>
      <c r="F56" s="12"/>
      <c r="G56" s="21"/>
      <c r="H56" s="12"/>
      <c r="I56" s="21"/>
      <c r="J56" s="12"/>
      <c r="K56" s="78">
        <f t="shared" si="16"/>
        <v>0</v>
      </c>
      <c r="L56" s="83" t="e">
        <f t="shared" si="17"/>
        <v>#DIV/0!</v>
      </c>
    </row>
    <row r="57" spans="1:12" x14ac:dyDescent="0.25">
      <c r="A57" s="27" t="s">
        <v>93</v>
      </c>
      <c r="B57" s="169"/>
      <c r="C57" s="21"/>
      <c r="D57" s="20">
        <f>Almacen!B39</f>
        <v>0</v>
      </c>
      <c r="E57" s="21" t="e">
        <f t="shared" si="15"/>
        <v>#DIV/0!</v>
      </c>
      <c r="F57" s="12"/>
      <c r="G57" s="21"/>
      <c r="H57" s="12"/>
      <c r="I57" s="21"/>
      <c r="J57" s="12"/>
      <c r="K57" s="78">
        <f t="shared" si="16"/>
        <v>0</v>
      </c>
      <c r="L57" s="83" t="e">
        <f t="shared" si="17"/>
        <v>#DIV/0!</v>
      </c>
    </row>
    <row r="58" spans="1:12" x14ac:dyDescent="0.25">
      <c r="A58" s="27" t="s">
        <v>135</v>
      </c>
      <c r="B58" s="169"/>
      <c r="C58" s="21"/>
      <c r="D58" s="20">
        <f>Almacen!B40</f>
        <v>0</v>
      </c>
      <c r="E58" s="21" t="e">
        <f t="shared" si="15"/>
        <v>#DIV/0!</v>
      </c>
      <c r="F58" s="12"/>
      <c r="G58" s="21"/>
      <c r="H58" s="12"/>
      <c r="I58" s="21"/>
      <c r="J58" s="12"/>
      <c r="K58" s="78">
        <f t="shared" si="16"/>
        <v>0</v>
      </c>
      <c r="L58" s="83" t="e">
        <f t="shared" si="17"/>
        <v>#DIV/0!</v>
      </c>
    </row>
    <row r="59" spans="1:12" x14ac:dyDescent="0.25">
      <c r="A59" s="27" t="s">
        <v>136</v>
      </c>
      <c r="B59" s="169"/>
      <c r="C59" s="21"/>
      <c r="D59" s="20">
        <f>Almacen!B41</f>
        <v>0</v>
      </c>
      <c r="E59" s="21" t="e">
        <f t="shared" si="15"/>
        <v>#DIV/0!</v>
      </c>
      <c r="F59" s="12"/>
      <c r="G59" s="21"/>
      <c r="H59" s="12"/>
      <c r="I59" s="21"/>
      <c r="J59" s="12"/>
      <c r="K59" s="78">
        <f t="shared" si="16"/>
        <v>0</v>
      </c>
      <c r="L59" s="83" t="e">
        <f t="shared" si="17"/>
        <v>#DIV/0!</v>
      </c>
    </row>
    <row r="60" spans="1:12" x14ac:dyDescent="0.25">
      <c r="A60" s="27" t="s">
        <v>47</v>
      </c>
      <c r="B60" s="169">
        <f>Sucursal_Semanal!AM49</f>
        <v>0</v>
      </c>
      <c r="C60" s="21" t="e">
        <f>B60/$B$64</f>
        <v>#DIV/0!</v>
      </c>
      <c r="D60" s="20"/>
      <c r="E60" s="21"/>
      <c r="F60" s="20">
        <f>Produccion!G37</f>
        <v>0</v>
      </c>
      <c r="G60" s="21" t="e">
        <f t="shared" ref="G60:G63" si="18">F60/$F$64</f>
        <v>#DIV/0!</v>
      </c>
      <c r="H60" s="12"/>
      <c r="I60" s="21"/>
      <c r="J60" s="12"/>
      <c r="K60" s="78">
        <f t="shared" si="16"/>
        <v>0</v>
      </c>
      <c r="L60" s="83" t="e">
        <f t="shared" si="17"/>
        <v>#DIV/0!</v>
      </c>
    </row>
    <row r="61" spans="1:12" x14ac:dyDescent="0.25">
      <c r="A61" s="27" t="s">
        <v>48</v>
      </c>
      <c r="B61" s="169">
        <f>Sucursal_Semanal!AM50</f>
        <v>0</v>
      </c>
      <c r="C61" s="21" t="e">
        <f>B61/$B$64</f>
        <v>#DIV/0!</v>
      </c>
      <c r="D61" s="20">
        <f>Almacen!B43</f>
        <v>0</v>
      </c>
      <c r="E61" s="21" t="e">
        <f>D61/$D$64</f>
        <v>#DIV/0!</v>
      </c>
      <c r="F61" s="20">
        <f>Produccion!G38</f>
        <v>0</v>
      </c>
      <c r="G61" s="21" t="e">
        <f t="shared" si="18"/>
        <v>#DIV/0!</v>
      </c>
      <c r="H61" s="12"/>
      <c r="I61" s="21"/>
      <c r="J61" s="12"/>
      <c r="K61" s="78">
        <f t="shared" si="16"/>
        <v>0</v>
      </c>
      <c r="L61" s="83" t="e">
        <f t="shared" si="17"/>
        <v>#DIV/0!</v>
      </c>
    </row>
    <row r="62" spans="1:12" x14ac:dyDescent="0.25">
      <c r="A62" s="27" t="s">
        <v>49</v>
      </c>
      <c r="B62" s="169">
        <f>Sucursal_Semanal!AM51</f>
        <v>0</v>
      </c>
      <c r="C62" s="21" t="e">
        <f>B62/$B$64</f>
        <v>#DIV/0!</v>
      </c>
      <c r="D62" s="20">
        <f>Almacen!B44</f>
        <v>0</v>
      </c>
      <c r="E62" s="21" t="e">
        <f>D62/$D$64</f>
        <v>#DIV/0!</v>
      </c>
      <c r="F62" s="20">
        <f>Produccion!G39</f>
        <v>0</v>
      </c>
      <c r="G62" s="21" t="e">
        <f t="shared" si="18"/>
        <v>#DIV/0!</v>
      </c>
      <c r="H62" s="12"/>
      <c r="I62" s="21"/>
      <c r="J62" s="12"/>
      <c r="K62" s="78">
        <f t="shared" si="16"/>
        <v>0</v>
      </c>
      <c r="L62" s="83" t="e">
        <f t="shared" si="17"/>
        <v>#DIV/0!</v>
      </c>
    </row>
    <row r="63" spans="1:12" x14ac:dyDescent="0.25">
      <c r="A63" s="27" t="s">
        <v>50</v>
      </c>
      <c r="B63" s="169">
        <f>Sucursal_Semanal!AM52</f>
        <v>0</v>
      </c>
      <c r="C63" s="21" t="e">
        <f>B63/$B$64</f>
        <v>#DIV/0!</v>
      </c>
      <c r="D63" s="20">
        <f>Almacen!B42</f>
        <v>0</v>
      </c>
      <c r="E63" s="21" t="e">
        <f>D63/$D$64</f>
        <v>#DIV/0!</v>
      </c>
      <c r="F63" s="20">
        <f>Produccion!G40</f>
        <v>0</v>
      </c>
      <c r="G63" s="21" t="e">
        <f t="shared" si="18"/>
        <v>#DIV/0!</v>
      </c>
      <c r="H63" s="12"/>
      <c r="I63" s="21"/>
      <c r="J63" s="12"/>
      <c r="K63" s="78">
        <f t="shared" si="16"/>
        <v>0</v>
      </c>
      <c r="L63" s="83" t="e">
        <f t="shared" si="17"/>
        <v>#DIV/0!</v>
      </c>
    </row>
    <row r="64" spans="1:12" x14ac:dyDescent="0.25">
      <c r="A64" s="28" t="s">
        <v>116</v>
      </c>
      <c r="B64" s="23">
        <f>SUM(B43:B63)</f>
        <v>0</v>
      </c>
      <c r="C64" s="24" t="e">
        <f>B64/K64</f>
        <v>#DIV/0!</v>
      </c>
      <c r="D64" s="23">
        <f>SUM(D43:D63)</f>
        <v>0</v>
      </c>
      <c r="E64" s="24" t="e">
        <f>D64/K64</f>
        <v>#DIV/0!</v>
      </c>
      <c r="F64" s="23">
        <f>SUM(F43:F63)</f>
        <v>0</v>
      </c>
      <c r="G64" s="24" t="e">
        <f>F64/K64</f>
        <v>#DIV/0!</v>
      </c>
      <c r="H64" s="34">
        <v>0</v>
      </c>
      <c r="I64" s="24">
        <v>0</v>
      </c>
      <c r="J64" s="12"/>
      <c r="K64" s="60">
        <f>SUM(K43:K63)</f>
        <v>0</v>
      </c>
      <c r="L64" s="61" t="e">
        <f>K64/K20</f>
        <v>#DIV/0!</v>
      </c>
    </row>
    <row r="65" spans="1:12" x14ac:dyDescent="0.25">
      <c r="A65" s="27"/>
      <c r="B65" s="12"/>
      <c r="C65" s="13"/>
      <c r="D65" s="12"/>
      <c r="E65" s="13"/>
      <c r="F65" s="12"/>
      <c r="G65" s="13"/>
      <c r="H65" s="12"/>
      <c r="I65" s="13"/>
      <c r="J65" s="12"/>
      <c r="K65" s="12"/>
    </row>
    <row r="66" spans="1:12" x14ac:dyDescent="0.25">
      <c r="A66" s="12"/>
      <c r="B66" s="12"/>
      <c r="C66" s="13"/>
      <c r="D66" s="12"/>
      <c r="E66" s="13"/>
      <c r="F66" s="12"/>
      <c r="G66" s="13"/>
      <c r="H66" s="12"/>
      <c r="I66" s="13"/>
      <c r="J66" s="12"/>
      <c r="K66" s="12"/>
    </row>
    <row r="67" spans="1:12" x14ac:dyDescent="0.25">
      <c r="A67" s="11" t="s">
        <v>62</v>
      </c>
      <c r="B67" s="12"/>
      <c r="C67" s="13"/>
      <c r="D67" s="12"/>
      <c r="E67" s="13"/>
      <c r="F67" s="12"/>
      <c r="G67" s="13"/>
      <c r="H67" s="12"/>
      <c r="I67" s="13"/>
      <c r="J67" s="12"/>
      <c r="K67" s="76"/>
      <c r="L67" s="77"/>
    </row>
    <row r="68" spans="1:12" x14ac:dyDescent="0.25">
      <c r="A68" s="27" t="s">
        <v>94</v>
      </c>
      <c r="B68" s="169">
        <f>Sucursal_Semanal!AM56</f>
        <v>0</v>
      </c>
      <c r="C68" s="21" t="e">
        <f>B68/$B$81</f>
        <v>#DIV/0!</v>
      </c>
      <c r="D68" s="169">
        <f>Almacen!B49</f>
        <v>0</v>
      </c>
      <c r="E68" s="21" t="e">
        <f>D68/$D$81</f>
        <v>#DIV/0!</v>
      </c>
      <c r="F68" s="169">
        <f>Produccion!G44</f>
        <v>0</v>
      </c>
      <c r="G68" s="21" t="e">
        <f>F68/$F$81</f>
        <v>#DIV/0!</v>
      </c>
      <c r="H68" s="169">
        <f>Franquicias!B31</f>
        <v>0</v>
      </c>
      <c r="I68" s="21" t="e">
        <f>H68/$H$81</f>
        <v>#DIV/0!</v>
      </c>
      <c r="J68" s="12"/>
      <c r="K68" s="78">
        <f t="shared" ref="K68:K80" si="19">B68+D68+F68+H68</f>
        <v>0</v>
      </c>
      <c r="L68" s="83" t="e">
        <f>K68/$K$81</f>
        <v>#DIV/0!</v>
      </c>
    </row>
    <row r="69" spans="1:12" x14ac:dyDescent="0.25">
      <c r="A69" s="27" t="s">
        <v>63</v>
      </c>
      <c r="B69" s="169">
        <f>Sucursal_Semanal!AM57</f>
        <v>0</v>
      </c>
      <c r="C69" s="21" t="e">
        <f t="shared" ref="C69:C80" si="20">B69/$B$81</f>
        <v>#DIV/0!</v>
      </c>
      <c r="D69" s="169">
        <f>Almacen!B50</f>
        <v>0</v>
      </c>
      <c r="E69" s="21" t="e">
        <f t="shared" ref="E69:E80" si="21">D69/$D$81</f>
        <v>#DIV/0!</v>
      </c>
      <c r="F69" s="169">
        <f>Produccion!G45</f>
        <v>0</v>
      </c>
      <c r="G69" s="21" t="e">
        <f t="shared" ref="G69:G80" si="22">F69/$F$81</f>
        <v>#DIV/0!</v>
      </c>
      <c r="H69" s="169">
        <f>Franquicias!B32</f>
        <v>0</v>
      </c>
      <c r="I69" s="21" t="e">
        <f t="shared" ref="I69:I80" si="23">H69/$H$81</f>
        <v>#DIV/0!</v>
      </c>
      <c r="J69" s="12"/>
      <c r="K69" s="78">
        <f t="shared" si="19"/>
        <v>0</v>
      </c>
      <c r="L69" s="83" t="e">
        <f t="shared" ref="L69:L80" si="24">K69/$K$81</f>
        <v>#DIV/0!</v>
      </c>
    </row>
    <row r="70" spans="1:12" x14ac:dyDescent="0.25">
      <c r="A70" s="27" t="s">
        <v>64</v>
      </c>
      <c r="B70" s="169">
        <f>Sucursal_Semanal!AM58</f>
        <v>0</v>
      </c>
      <c r="C70" s="21" t="e">
        <f t="shared" si="20"/>
        <v>#DIV/0!</v>
      </c>
      <c r="D70" s="169">
        <f>Almacen!B51</f>
        <v>0</v>
      </c>
      <c r="E70" s="21" t="e">
        <f t="shared" si="21"/>
        <v>#DIV/0!</v>
      </c>
      <c r="F70" s="169">
        <f>Produccion!G46</f>
        <v>0</v>
      </c>
      <c r="G70" s="21" t="e">
        <f t="shared" si="22"/>
        <v>#DIV/0!</v>
      </c>
      <c r="H70" s="169">
        <f>Franquicias!B33</f>
        <v>0</v>
      </c>
      <c r="I70" s="21" t="e">
        <f t="shared" si="23"/>
        <v>#DIV/0!</v>
      </c>
      <c r="J70" s="12"/>
      <c r="K70" s="78">
        <f t="shared" si="19"/>
        <v>0</v>
      </c>
      <c r="L70" s="83" t="e">
        <f t="shared" si="24"/>
        <v>#DIV/0!</v>
      </c>
    </row>
    <row r="71" spans="1:12" x14ac:dyDescent="0.25">
      <c r="A71" s="27" t="s">
        <v>65</v>
      </c>
      <c r="B71" s="169">
        <f>Sucursal_Semanal!AM59</f>
        <v>0</v>
      </c>
      <c r="C71" s="21" t="e">
        <f t="shared" si="20"/>
        <v>#DIV/0!</v>
      </c>
      <c r="D71" s="169">
        <f>Almacen!B52</f>
        <v>0</v>
      </c>
      <c r="E71" s="21" t="e">
        <f t="shared" si="21"/>
        <v>#DIV/0!</v>
      </c>
      <c r="F71" s="169">
        <f>Produccion!G47</f>
        <v>0</v>
      </c>
      <c r="G71" s="21" t="e">
        <f t="shared" si="22"/>
        <v>#DIV/0!</v>
      </c>
      <c r="H71" s="169">
        <f>Franquicias!B34</f>
        <v>0</v>
      </c>
      <c r="I71" s="21" t="e">
        <f t="shared" si="23"/>
        <v>#DIV/0!</v>
      </c>
      <c r="J71" s="12"/>
      <c r="K71" s="78">
        <f t="shared" si="19"/>
        <v>0</v>
      </c>
      <c r="L71" s="83" t="e">
        <f t="shared" si="24"/>
        <v>#DIV/0!</v>
      </c>
    </row>
    <row r="72" spans="1:12" x14ac:dyDescent="0.25">
      <c r="A72" s="27" t="s">
        <v>66</v>
      </c>
      <c r="B72" s="169">
        <f>Sucursal_Semanal!AM60</f>
        <v>0</v>
      </c>
      <c r="C72" s="21" t="e">
        <f t="shared" si="20"/>
        <v>#DIV/0!</v>
      </c>
      <c r="D72" s="169">
        <f>Almacen!B53</f>
        <v>0</v>
      </c>
      <c r="E72" s="21" t="e">
        <f t="shared" si="21"/>
        <v>#DIV/0!</v>
      </c>
      <c r="F72" s="169">
        <f>Produccion!G48</f>
        <v>0</v>
      </c>
      <c r="G72" s="21" t="e">
        <f t="shared" si="22"/>
        <v>#DIV/0!</v>
      </c>
      <c r="H72" s="169">
        <f>Franquicias!B35</f>
        <v>0</v>
      </c>
      <c r="I72" s="21" t="e">
        <f t="shared" si="23"/>
        <v>#DIV/0!</v>
      </c>
      <c r="J72" s="12"/>
      <c r="K72" s="78">
        <f t="shared" si="19"/>
        <v>0</v>
      </c>
      <c r="L72" s="83" t="e">
        <f t="shared" si="24"/>
        <v>#DIV/0!</v>
      </c>
    </row>
    <row r="73" spans="1:12" x14ac:dyDescent="0.25">
      <c r="A73" s="27" t="s">
        <v>67</v>
      </c>
      <c r="B73" s="169">
        <f>Sucursal_Semanal!AM61</f>
        <v>0</v>
      </c>
      <c r="C73" s="21" t="e">
        <f t="shared" si="20"/>
        <v>#DIV/0!</v>
      </c>
      <c r="D73" s="169">
        <f>Almacen!B54</f>
        <v>0</v>
      </c>
      <c r="E73" s="21" t="e">
        <f t="shared" si="21"/>
        <v>#DIV/0!</v>
      </c>
      <c r="F73" s="169">
        <f>Produccion!G49</f>
        <v>0</v>
      </c>
      <c r="G73" s="21" t="e">
        <f t="shared" si="22"/>
        <v>#DIV/0!</v>
      </c>
      <c r="H73" s="169">
        <f>Franquicias!B36</f>
        <v>0</v>
      </c>
      <c r="I73" s="21" t="e">
        <f t="shared" si="23"/>
        <v>#DIV/0!</v>
      </c>
      <c r="J73" s="12"/>
      <c r="K73" s="78">
        <f t="shared" si="19"/>
        <v>0</v>
      </c>
      <c r="L73" s="83" t="e">
        <f t="shared" si="24"/>
        <v>#DIV/0!</v>
      </c>
    </row>
    <row r="74" spans="1:12" x14ac:dyDescent="0.25">
      <c r="A74" s="27" t="s">
        <v>68</v>
      </c>
      <c r="B74" s="169">
        <f>Sucursal_Semanal!AM62</f>
        <v>0</v>
      </c>
      <c r="C74" s="21" t="e">
        <f t="shared" si="20"/>
        <v>#DIV/0!</v>
      </c>
      <c r="D74" s="169">
        <f>Almacen!B55</f>
        <v>0</v>
      </c>
      <c r="E74" s="21" t="e">
        <f t="shared" si="21"/>
        <v>#DIV/0!</v>
      </c>
      <c r="F74" s="169">
        <f>Produccion!G50</f>
        <v>0</v>
      </c>
      <c r="G74" s="21" t="e">
        <f t="shared" si="22"/>
        <v>#DIV/0!</v>
      </c>
      <c r="H74" s="169">
        <f>Franquicias!B37</f>
        <v>0</v>
      </c>
      <c r="I74" s="21" t="e">
        <f t="shared" si="23"/>
        <v>#DIV/0!</v>
      </c>
      <c r="J74" s="12"/>
      <c r="K74" s="78">
        <f t="shared" si="19"/>
        <v>0</v>
      </c>
      <c r="L74" s="83" t="e">
        <f t="shared" si="24"/>
        <v>#DIV/0!</v>
      </c>
    </row>
    <row r="75" spans="1:12" x14ac:dyDescent="0.25">
      <c r="A75" s="27" t="s">
        <v>69</v>
      </c>
      <c r="B75" s="169">
        <f>Sucursal_Semanal!AM63</f>
        <v>0</v>
      </c>
      <c r="C75" s="21" t="e">
        <f t="shared" si="20"/>
        <v>#DIV/0!</v>
      </c>
      <c r="D75" s="169">
        <f>Almacen!B56</f>
        <v>0</v>
      </c>
      <c r="E75" s="21" t="e">
        <f t="shared" si="21"/>
        <v>#DIV/0!</v>
      </c>
      <c r="F75" s="169">
        <f>Produccion!G51</f>
        <v>0</v>
      </c>
      <c r="G75" s="21" t="e">
        <f t="shared" si="22"/>
        <v>#DIV/0!</v>
      </c>
      <c r="H75" s="169">
        <f>Franquicias!B38</f>
        <v>0</v>
      </c>
      <c r="I75" s="21" t="e">
        <f t="shared" si="23"/>
        <v>#DIV/0!</v>
      </c>
      <c r="J75" s="12"/>
      <c r="K75" s="78">
        <f t="shared" si="19"/>
        <v>0</v>
      </c>
      <c r="L75" s="83" t="e">
        <f t="shared" si="24"/>
        <v>#DIV/0!</v>
      </c>
    </row>
    <row r="76" spans="1:12" x14ac:dyDescent="0.25">
      <c r="A76" s="27" t="s">
        <v>70</v>
      </c>
      <c r="B76" s="169">
        <f>Sucursal_Semanal!AM64</f>
        <v>0</v>
      </c>
      <c r="C76" s="21" t="e">
        <f t="shared" si="20"/>
        <v>#DIV/0!</v>
      </c>
      <c r="D76" s="169">
        <f>Almacen!B57</f>
        <v>0</v>
      </c>
      <c r="E76" s="21" t="e">
        <f t="shared" si="21"/>
        <v>#DIV/0!</v>
      </c>
      <c r="F76" s="169">
        <f>Produccion!G52</f>
        <v>0</v>
      </c>
      <c r="G76" s="21" t="e">
        <f t="shared" si="22"/>
        <v>#DIV/0!</v>
      </c>
      <c r="H76" s="169">
        <f>Franquicias!B39</f>
        <v>0</v>
      </c>
      <c r="I76" s="21" t="e">
        <f t="shared" si="23"/>
        <v>#DIV/0!</v>
      </c>
      <c r="J76" s="12"/>
      <c r="K76" s="78">
        <f t="shared" si="19"/>
        <v>0</v>
      </c>
      <c r="L76" s="83" t="e">
        <f t="shared" si="24"/>
        <v>#DIV/0!</v>
      </c>
    </row>
    <row r="77" spans="1:12" x14ac:dyDescent="0.25">
      <c r="A77" s="27" t="s">
        <v>71</v>
      </c>
      <c r="B77" s="169">
        <f>Sucursal_Semanal!AM65</f>
        <v>0</v>
      </c>
      <c r="C77" s="21" t="e">
        <f t="shared" si="20"/>
        <v>#DIV/0!</v>
      </c>
      <c r="D77" s="169">
        <f>Almacen!B58</f>
        <v>0</v>
      </c>
      <c r="E77" s="21" t="e">
        <f t="shared" si="21"/>
        <v>#DIV/0!</v>
      </c>
      <c r="F77" s="169">
        <f>Produccion!G53</f>
        <v>0</v>
      </c>
      <c r="G77" s="21" t="e">
        <f t="shared" si="22"/>
        <v>#DIV/0!</v>
      </c>
      <c r="H77" s="169">
        <f>Franquicias!B40</f>
        <v>0</v>
      </c>
      <c r="I77" s="21" t="e">
        <f t="shared" si="23"/>
        <v>#DIV/0!</v>
      </c>
      <c r="J77" s="12"/>
      <c r="K77" s="78">
        <f t="shared" si="19"/>
        <v>0</v>
      </c>
      <c r="L77" s="83" t="e">
        <f t="shared" si="24"/>
        <v>#DIV/0!</v>
      </c>
    </row>
    <row r="78" spans="1:12" x14ac:dyDescent="0.25">
      <c r="A78" s="27" t="s">
        <v>72</v>
      </c>
      <c r="B78" s="169">
        <f>Sucursal_Semanal!AM66</f>
        <v>0</v>
      </c>
      <c r="C78" s="21" t="e">
        <f t="shared" si="20"/>
        <v>#DIV/0!</v>
      </c>
      <c r="D78" s="169">
        <f>Almacen!B59</f>
        <v>0</v>
      </c>
      <c r="E78" s="21" t="e">
        <f t="shared" si="21"/>
        <v>#DIV/0!</v>
      </c>
      <c r="F78" s="169">
        <f>Produccion!G54</f>
        <v>0</v>
      </c>
      <c r="G78" s="21" t="e">
        <f t="shared" si="22"/>
        <v>#DIV/0!</v>
      </c>
      <c r="H78" s="169">
        <f>Franquicias!B41</f>
        <v>0</v>
      </c>
      <c r="I78" s="21" t="e">
        <f t="shared" si="23"/>
        <v>#DIV/0!</v>
      </c>
      <c r="J78" s="12"/>
      <c r="K78" s="78">
        <f t="shared" si="19"/>
        <v>0</v>
      </c>
      <c r="L78" s="83" t="e">
        <f t="shared" si="24"/>
        <v>#DIV/0!</v>
      </c>
    </row>
    <row r="79" spans="1:12" x14ac:dyDescent="0.25">
      <c r="A79" s="27" t="s">
        <v>73</v>
      </c>
      <c r="B79" s="169">
        <f>Sucursal_Semanal!AM67</f>
        <v>0</v>
      </c>
      <c r="C79" s="21" t="e">
        <f t="shared" si="20"/>
        <v>#DIV/0!</v>
      </c>
      <c r="D79" s="169">
        <f>Almacen!B60</f>
        <v>0</v>
      </c>
      <c r="E79" s="21" t="e">
        <f t="shared" si="21"/>
        <v>#DIV/0!</v>
      </c>
      <c r="F79" s="169">
        <f>Produccion!G55</f>
        <v>0</v>
      </c>
      <c r="G79" s="21" t="e">
        <f t="shared" si="22"/>
        <v>#DIV/0!</v>
      </c>
      <c r="H79" s="169">
        <f>Franquicias!B42</f>
        <v>0</v>
      </c>
      <c r="I79" s="21" t="e">
        <f t="shared" si="23"/>
        <v>#DIV/0!</v>
      </c>
      <c r="J79" s="12"/>
      <c r="K79" s="78">
        <f t="shared" si="19"/>
        <v>0</v>
      </c>
      <c r="L79" s="83" t="e">
        <f t="shared" si="24"/>
        <v>#DIV/0!</v>
      </c>
    </row>
    <row r="80" spans="1:12" x14ac:dyDescent="0.25">
      <c r="A80" s="27" t="s">
        <v>74</v>
      </c>
      <c r="B80" s="169">
        <f>Sucursal_Semanal!AM68</f>
        <v>0</v>
      </c>
      <c r="C80" s="21" t="e">
        <f t="shared" si="20"/>
        <v>#DIV/0!</v>
      </c>
      <c r="D80" s="169">
        <f>Almacen!B61</f>
        <v>0</v>
      </c>
      <c r="E80" s="21" t="e">
        <f t="shared" si="21"/>
        <v>#DIV/0!</v>
      </c>
      <c r="F80" s="169">
        <f>Produccion!G56</f>
        <v>0</v>
      </c>
      <c r="G80" s="21" t="e">
        <f t="shared" si="22"/>
        <v>#DIV/0!</v>
      </c>
      <c r="H80" s="169">
        <f>Franquicias!B43</f>
        <v>0</v>
      </c>
      <c r="I80" s="21" t="e">
        <f t="shared" si="23"/>
        <v>#DIV/0!</v>
      </c>
      <c r="J80" s="12"/>
      <c r="K80" s="78">
        <f t="shared" si="19"/>
        <v>0</v>
      </c>
      <c r="L80" s="83" t="e">
        <f t="shared" si="24"/>
        <v>#DIV/0!</v>
      </c>
    </row>
    <row r="81" spans="1:12" x14ac:dyDescent="0.25">
      <c r="A81" s="28" t="s">
        <v>75</v>
      </c>
      <c r="B81" s="23">
        <f>SUM(B68:B80)</f>
        <v>0</v>
      </c>
      <c r="C81" s="24" t="e">
        <f>B81/$K$81</f>
        <v>#DIV/0!</v>
      </c>
      <c r="D81" s="23">
        <f>SUM(D68:D80)</f>
        <v>0</v>
      </c>
      <c r="E81" s="24" t="e">
        <f>D81/$K$81</f>
        <v>#DIV/0!</v>
      </c>
      <c r="F81" s="23">
        <f>SUM(F68:F80)</f>
        <v>0</v>
      </c>
      <c r="G81" s="24" t="e">
        <f>F81/$K$81</f>
        <v>#DIV/0!</v>
      </c>
      <c r="H81" s="23">
        <f>SUM(H68:H80)</f>
        <v>0</v>
      </c>
      <c r="I81" s="24" t="e">
        <f>H81/$K$81</f>
        <v>#DIV/0!</v>
      </c>
      <c r="J81" s="12"/>
      <c r="K81" s="60">
        <f>SUM(K68:K80)</f>
        <v>0</v>
      </c>
      <c r="L81" s="61" t="e">
        <f>K81/K20</f>
        <v>#DIV/0!</v>
      </c>
    </row>
    <row r="82" spans="1:12" x14ac:dyDescent="0.25">
      <c r="A82" s="27"/>
      <c r="B82" s="12"/>
      <c r="C82" s="13"/>
      <c r="D82" s="12"/>
      <c r="E82" s="13"/>
      <c r="F82" s="12"/>
      <c r="G82" s="13"/>
      <c r="H82" s="12"/>
      <c r="I82" s="13"/>
      <c r="J82" s="12"/>
      <c r="K82" s="12"/>
    </row>
    <row r="83" spans="1:12" x14ac:dyDescent="0.25">
      <c r="A83" s="63" t="s">
        <v>76</v>
      </c>
      <c r="B83" s="64">
        <f>B20-B31-B40-B64-B81</f>
        <v>0</v>
      </c>
      <c r="C83" s="65" t="e">
        <f>B83/K83</f>
        <v>#DIV/0!</v>
      </c>
      <c r="D83" s="64">
        <f>D20-D31-D40-D64-D81</f>
        <v>0</v>
      </c>
      <c r="E83" s="65" t="e">
        <f>D83/K83</f>
        <v>#DIV/0!</v>
      </c>
      <c r="F83" s="64">
        <f>F20-F31-F40-F64-F81</f>
        <v>0</v>
      </c>
      <c r="G83" s="65" t="e">
        <f>F83/K83</f>
        <v>#DIV/0!</v>
      </c>
      <c r="H83" s="64">
        <f>H20-H31-H40-H64-H81</f>
        <v>0</v>
      </c>
      <c r="I83" s="66" t="e">
        <f>H83/K83</f>
        <v>#DIV/0!</v>
      </c>
      <c r="J83" s="12"/>
      <c r="K83" s="67">
        <f>B83+D83+F83+H83</f>
        <v>0</v>
      </c>
      <c r="L83" s="68" t="e">
        <f>K83/K20</f>
        <v>#DIV/0!</v>
      </c>
    </row>
    <row r="84" spans="1:12" x14ac:dyDescent="0.25">
      <c r="A84" s="12"/>
      <c r="B84" s="12"/>
      <c r="C84" s="13"/>
      <c r="D84" s="12"/>
      <c r="E84" s="13"/>
      <c r="F84" s="12"/>
      <c r="G84" s="13"/>
      <c r="H84" s="12"/>
      <c r="I84" s="13"/>
      <c r="J84" s="12"/>
      <c r="K84" s="12"/>
    </row>
    <row r="85" spans="1:12" x14ac:dyDescent="0.25">
      <c r="A85" s="11" t="s">
        <v>96</v>
      </c>
      <c r="B85" s="12"/>
      <c r="C85" s="13"/>
      <c r="D85" s="46"/>
      <c r="E85" s="46"/>
      <c r="F85" s="46"/>
      <c r="G85" s="46"/>
      <c r="H85" s="46"/>
      <c r="I85" s="46"/>
      <c r="J85" s="46"/>
      <c r="K85" s="84"/>
      <c r="L85" s="85"/>
    </row>
    <row r="86" spans="1:12" x14ac:dyDescent="0.25">
      <c r="A86" s="27" t="s">
        <v>77</v>
      </c>
      <c r="B86" s="169" t="e">
        <f>Sucursal_Semanal!AM74</f>
        <v>#DIV/0!</v>
      </c>
      <c r="C86" s="21" t="e">
        <f>B86/$B$88</f>
        <v>#DIV/0!</v>
      </c>
      <c r="D86" s="169" t="e">
        <f>Almacen!B67</f>
        <v>#DIV/0!</v>
      </c>
      <c r="E86" s="21" t="e">
        <f>D86/$D$88</f>
        <v>#DIV/0!</v>
      </c>
      <c r="F86" s="20" t="e">
        <f>Produccion!G63</f>
        <v>#DIV/0!</v>
      </c>
      <c r="G86" s="21" t="e">
        <f>F86/$F$88</f>
        <v>#DIV/0!</v>
      </c>
      <c r="H86" s="20" t="e">
        <f>Franquicias!B49</f>
        <v>#DIV/0!</v>
      </c>
      <c r="I86" s="21" t="e">
        <f>H86/$H$88</f>
        <v>#DIV/0!</v>
      </c>
      <c r="J86" s="46"/>
      <c r="K86" s="82" t="e">
        <f>B86+D86+F86+H86</f>
        <v>#DIV/0!</v>
      </c>
      <c r="L86" s="83" t="e">
        <f>K86/K20</f>
        <v>#DIV/0!</v>
      </c>
    </row>
    <row r="87" spans="1:12" x14ac:dyDescent="0.25">
      <c r="A87" s="27" t="s">
        <v>78</v>
      </c>
      <c r="B87" s="20">
        <f>Sucursal_Semanal!AM75</f>
        <v>0</v>
      </c>
      <c r="C87" s="21" t="e">
        <f>B87/$B$88</f>
        <v>#DIV/0!</v>
      </c>
      <c r="D87" s="20">
        <f>Almacen!B68</f>
        <v>0</v>
      </c>
      <c r="E87" s="21" t="e">
        <f>D87/$D$88</f>
        <v>#DIV/0!</v>
      </c>
      <c r="F87" s="20">
        <f>Produccion!G64</f>
        <v>0</v>
      </c>
      <c r="G87" s="21" t="e">
        <f>F87/$F$88</f>
        <v>#DIV/0!</v>
      </c>
      <c r="H87" s="20">
        <f>Franquicias!B50</f>
        <v>0</v>
      </c>
      <c r="I87" s="21" t="e">
        <f>H87/$H$88</f>
        <v>#DIV/0!</v>
      </c>
      <c r="J87" s="46"/>
      <c r="K87" s="82">
        <f>B87+D87+F87+H87</f>
        <v>0</v>
      </c>
      <c r="L87" s="83" t="e">
        <f>K87/K20</f>
        <v>#DIV/0!</v>
      </c>
    </row>
    <row r="88" spans="1:12" x14ac:dyDescent="0.25">
      <c r="A88" s="28" t="s">
        <v>79</v>
      </c>
      <c r="B88" s="23" t="e">
        <f>SUM(B86:B87)</f>
        <v>#DIV/0!</v>
      </c>
      <c r="C88" s="24" t="e">
        <f>B88/K88</f>
        <v>#DIV/0!</v>
      </c>
      <c r="D88" s="23" t="e">
        <f>SUM(D86:D87)</f>
        <v>#DIV/0!</v>
      </c>
      <c r="E88" s="24" t="e">
        <f>D88/K88</f>
        <v>#DIV/0!</v>
      </c>
      <c r="F88" s="23" t="e">
        <f>SUM(F86:F87)</f>
        <v>#DIV/0!</v>
      </c>
      <c r="G88" s="24" t="e">
        <f>F88/K88</f>
        <v>#DIV/0!</v>
      </c>
      <c r="H88" s="23" t="e">
        <f>SUM(H86:H87)</f>
        <v>#DIV/0!</v>
      </c>
      <c r="I88" s="24" t="e">
        <f>H88/K88</f>
        <v>#DIV/0!</v>
      </c>
      <c r="J88" s="46"/>
      <c r="K88" s="60" t="e">
        <f>SUM(K86:K87)</f>
        <v>#DIV/0!</v>
      </c>
      <c r="L88" s="61" t="e">
        <f>K88/K20</f>
        <v>#DIV/0!</v>
      </c>
    </row>
    <row r="89" spans="1:12" x14ac:dyDescent="0.25">
      <c r="A89" s="12"/>
      <c r="B89" s="12"/>
      <c r="C89" s="13"/>
      <c r="D89" s="12"/>
      <c r="E89" s="13"/>
      <c r="F89" s="12"/>
      <c r="G89" s="13"/>
      <c r="H89" s="12"/>
      <c r="I89" s="13"/>
      <c r="J89" s="46"/>
      <c r="K89" s="46"/>
    </row>
    <row r="90" spans="1:12" x14ac:dyDescent="0.25">
      <c r="A90" s="69" t="s">
        <v>80</v>
      </c>
      <c r="B90" s="70" t="e">
        <f>B83-B88</f>
        <v>#DIV/0!</v>
      </c>
      <c r="C90" s="71" t="e">
        <f>B90/$K$90</f>
        <v>#DIV/0!</v>
      </c>
      <c r="D90" s="70" t="e">
        <f>D83-D88</f>
        <v>#DIV/0!</v>
      </c>
      <c r="E90" s="71" t="e">
        <f>D90/$K$90</f>
        <v>#DIV/0!</v>
      </c>
      <c r="F90" s="70" t="e">
        <f>F83-F88</f>
        <v>#DIV/0!</v>
      </c>
      <c r="G90" s="71" t="e">
        <f>F90/$K$90</f>
        <v>#DIV/0!</v>
      </c>
      <c r="H90" s="70" t="e">
        <f>H83-H88</f>
        <v>#DIV/0!</v>
      </c>
      <c r="I90" s="71" t="e">
        <f>H90/$K$90</f>
        <v>#DIV/0!</v>
      </c>
      <c r="J90" s="72"/>
      <c r="K90" s="73" t="e">
        <f>B90+D90+F90+H90</f>
        <v>#DIV/0!</v>
      </c>
      <c r="L90" s="74" t="e">
        <f>K90/K20</f>
        <v>#DIV/0!</v>
      </c>
    </row>
    <row r="91" spans="1:12" x14ac:dyDescent="0.25">
      <c r="A91" s="12"/>
      <c r="B91" s="12"/>
      <c r="C91" s="13"/>
      <c r="D91" s="12"/>
      <c r="E91" s="13"/>
      <c r="F91" s="12"/>
      <c r="G91" s="13"/>
      <c r="H91" s="12"/>
      <c r="I91" s="13"/>
      <c r="J91" s="12"/>
      <c r="K91" s="12"/>
      <c r="L91" s="46"/>
    </row>
    <row r="92" spans="1:12" x14ac:dyDescent="0.25">
      <c r="A92" s="15" t="s">
        <v>81</v>
      </c>
      <c r="B92" s="12"/>
      <c r="C92" s="13"/>
      <c r="D92" s="12"/>
      <c r="E92" s="13"/>
      <c r="F92" s="12"/>
      <c r="G92" s="13"/>
      <c r="H92" s="12"/>
      <c r="I92" s="13"/>
      <c r="J92" s="46"/>
      <c r="K92" s="46"/>
      <c r="L92" s="13"/>
    </row>
    <row r="93" spans="1:12" x14ac:dyDescent="0.25">
      <c r="A93" s="12"/>
      <c r="B93" s="12">
        <v>0</v>
      </c>
      <c r="C93" s="13"/>
      <c r="D93" s="12">
        <v>0</v>
      </c>
      <c r="E93" s="13"/>
      <c r="F93" s="12">
        <v>0</v>
      </c>
      <c r="G93" s="13"/>
      <c r="H93" s="12">
        <v>0</v>
      </c>
      <c r="I93" s="13"/>
      <c r="J93" s="12"/>
      <c r="K93" s="12">
        <f>B93+D93+F93+H93</f>
        <v>0</v>
      </c>
      <c r="L93" s="13"/>
    </row>
    <row r="94" spans="1:12" x14ac:dyDescent="0.25">
      <c r="A94" s="12"/>
      <c r="B94" s="12">
        <v>0</v>
      </c>
      <c r="C94" s="13"/>
      <c r="D94" s="12">
        <v>0</v>
      </c>
      <c r="E94" s="13"/>
      <c r="F94" s="12">
        <v>0</v>
      </c>
      <c r="G94" s="13"/>
      <c r="H94" s="12">
        <v>0</v>
      </c>
      <c r="I94" s="13"/>
      <c r="J94" s="12"/>
      <c r="K94" s="12">
        <f t="shared" ref="K94:K99" si="25">B94+D94+F94+H94</f>
        <v>0</v>
      </c>
      <c r="L94" s="13"/>
    </row>
    <row r="95" spans="1:12" x14ac:dyDescent="0.25">
      <c r="A95" s="12"/>
      <c r="B95" s="12">
        <v>0</v>
      </c>
      <c r="C95" s="13"/>
      <c r="D95" s="12">
        <v>0</v>
      </c>
      <c r="E95" s="13"/>
      <c r="F95" s="12">
        <v>0</v>
      </c>
      <c r="G95" s="13"/>
      <c r="H95" s="12">
        <v>0</v>
      </c>
      <c r="I95" s="13"/>
      <c r="J95" s="12"/>
      <c r="K95" s="12">
        <f t="shared" si="25"/>
        <v>0</v>
      </c>
      <c r="L95" s="13"/>
    </row>
    <row r="96" spans="1:12" x14ac:dyDescent="0.25">
      <c r="A96" s="27"/>
      <c r="B96" s="12">
        <v>0</v>
      </c>
      <c r="C96" s="13"/>
      <c r="D96" s="12">
        <v>0</v>
      </c>
      <c r="E96" s="13"/>
      <c r="F96" s="12">
        <v>0</v>
      </c>
      <c r="G96" s="13"/>
      <c r="H96" s="12">
        <v>0</v>
      </c>
      <c r="I96" s="13"/>
      <c r="J96" s="12"/>
      <c r="K96" s="12">
        <f t="shared" si="25"/>
        <v>0</v>
      </c>
      <c r="L96" s="13"/>
    </row>
    <row r="97" spans="1:12" x14ac:dyDescent="0.25">
      <c r="A97" s="27"/>
      <c r="B97" s="12">
        <v>0</v>
      </c>
      <c r="C97" s="13"/>
      <c r="D97" s="12">
        <v>0</v>
      </c>
      <c r="E97" s="13"/>
      <c r="F97" s="12">
        <v>0</v>
      </c>
      <c r="G97" s="13"/>
      <c r="H97" s="12">
        <v>0</v>
      </c>
      <c r="I97" s="13"/>
      <c r="J97" s="12"/>
      <c r="K97" s="12">
        <f t="shared" si="25"/>
        <v>0</v>
      </c>
      <c r="L97" s="13"/>
    </row>
    <row r="98" spans="1:12" x14ac:dyDescent="0.25">
      <c r="A98" s="27"/>
      <c r="B98" s="12">
        <v>0</v>
      </c>
      <c r="C98" s="13"/>
      <c r="D98" s="12">
        <v>0</v>
      </c>
      <c r="E98" s="13"/>
      <c r="F98" s="12">
        <v>0</v>
      </c>
      <c r="G98" s="13"/>
      <c r="H98" s="12">
        <v>0</v>
      </c>
      <c r="I98" s="13"/>
      <c r="J98" s="12"/>
      <c r="K98" s="12">
        <f t="shared" si="25"/>
        <v>0</v>
      </c>
      <c r="L98" s="13"/>
    </row>
    <row r="99" spans="1:12" x14ac:dyDescent="0.25">
      <c r="A99" s="27"/>
      <c r="B99" s="12">
        <v>0</v>
      </c>
      <c r="C99" s="13"/>
      <c r="D99" s="12">
        <v>0</v>
      </c>
      <c r="E99" s="13"/>
      <c r="F99" s="12">
        <v>0</v>
      </c>
      <c r="G99" s="13"/>
      <c r="H99" s="12">
        <v>0</v>
      </c>
      <c r="I99" s="13"/>
      <c r="J99" s="12"/>
      <c r="K99" s="12">
        <f t="shared" si="25"/>
        <v>0</v>
      </c>
      <c r="L99" s="13"/>
    </row>
    <row r="100" spans="1:12" x14ac:dyDescent="0.25">
      <c r="A100" s="34" t="s">
        <v>82</v>
      </c>
      <c r="B100" s="34">
        <f>SUM(B93:B99)</f>
        <v>0</v>
      </c>
      <c r="C100" s="13"/>
      <c r="D100" s="34">
        <f>SUM(D93:D99)</f>
        <v>0</v>
      </c>
      <c r="E100" s="13"/>
      <c r="F100" s="34">
        <f>SUM(F93:F99)</f>
        <v>0</v>
      </c>
      <c r="G100" s="13"/>
      <c r="H100" s="34">
        <f>SUM(H93:H99)</f>
        <v>0</v>
      </c>
      <c r="I100" s="13"/>
      <c r="J100" s="12"/>
      <c r="K100" s="34">
        <f>SUM(K93:K99)</f>
        <v>0</v>
      </c>
      <c r="L100" s="13"/>
    </row>
  </sheetData>
  <mergeCells count="8">
    <mergeCell ref="B5:C5"/>
    <mergeCell ref="D5:E5"/>
    <mergeCell ref="F5:G5"/>
    <mergeCell ref="H5:I5"/>
    <mergeCell ref="J1:K1"/>
    <mergeCell ref="J2:K2"/>
    <mergeCell ref="J3:K3"/>
    <mergeCell ref="K4:L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62"/>
  <sheetViews>
    <sheetView workbookViewId="0">
      <selection activeCell="B4" sqref="B4:C4"/>
    </sheetView>
  </sheetViews>
  <sheetFormatPr baseColWidth="10" defaultRowHeight="15" x14ac:dyDescent="0.25"/>
  <cols>
    <col min="1" max="1" width="28.28515625" bestFit="1" customWidth="1"/>
  </cols>
  <sheetData>
    <row r="1" spans="1:3" x14ac:dyDescent="0.25">
      <c r="A1" s="11" t="s">
        <v>31</v>
      </c>
      <c r="B1" s="87"/>
      <c r="C1" s="88"/>
    </row>
    <row r="2" spans="1:3" x14ac:dyDescent="0.25">
      <c r="A2" s="11" t="s">
        <v>32</v>
      </c>
      <c r="B2" s="87"/>
      <c r="C2" s="88"/>
    </row>
    <row r="3" spans="1:3" x14ac:dyDescent="0.25">
      <c r="A3" s="117" t="s">
        <v>154</v>
      </c>
      <c r="B3" s="87"/>
      <c r="C3" s="88"/>
    </row>
    <row r="4" spans="1:3" x14ac:dyDescent="0.25">
      <c r="A4" s="87"/>
      <c r="B4" s="183">
        <v>45049</v>
      </c>
      <c r="C4" s="183">
        <v>45077</v>
      </c>
    </row>
    <row r="5" spans="1:3" x14ac:dyDescent="0.25">
      <c r="A5" s="87"/>
      <c r="B5" s="226" t="s">
        <v>172</v>
      </c>
      <c r="C5" s="226"/>
    </row>
    <row r="6" spans="1:3" x14ac:dyDescent="0.25">
      <c r="A6" s="51" t="s">
        <v>155</v>
      </c>
      <c r="B6" s="118" t="s">
        <v>36</v>
      </c>
      <c r="C6" s="118" t="s">
        <v>37</v>
      </c>
    </row>
    <row r="7" spans="1:3" x14ac:dyDescent="0.25">
      <c r="A7" s="27" t="s">
        <v>173</v>
      </c>
      <c r="B7" s="91">
        <f>SUMIFS(Tabla_financiero_app.accdb[Importe_Ingreso],Tabla_financiero_app.accdb[Detalle de movimiento],Financiero!A7,Tabla_financiero_app.accdb[Fecha],"&gt;"&amp;Financiero!$B$4,Tabla_financiero_app.accdb[Fecha],"&lt;="&amp;Financiero!$C$4)</f>
        <v>0</v>
      </c>
      <c r="C7" s="103" t="e">
        <f>B7/B$21</f>
        <v>#DIV/0!</v>
      </c>
    </row>
    <row r="8" spans="1:3" x14ac:dyDescent="0.25">
      <c r="A8" s="27" t="s">
        <v>174</v>
      </c>
      <c r="B8" s="91">
        <f>SUMIFS(Tabla_financiero_app.accdb[Importe_Ingreso],Tabla_financiero_app.accdb[Detalle de movimiento],Financiero!A8,Tabla_financiero_app.accdb[Fecha],"&gt;"&amp;Financiero!$B$4,Tabla_financiero_app.accdb[Fecha],"&lt;="&amp;Financiero!$C$4)</f>
        <v>0</v>
      </c>
      <c r="C8" s="103" t="e">
        <f t="shared" ref="C8:C11" si="0">B8/B$21</f>
        <v>#DIV/0!</v>
      </c>
    </row>
    <row r="9" spans="1:3" x14ac:dyDescent="0.25">
      <c r="A9" s="27" t="s">
        <v>175</v>
      </c>
      <c r="B9" s="91">
        <f>SUMIFS(Tabla_financiero_app.accdb[Importe_Ingreso],Tabla_financiero_app.accdb[Detalle de movimiento],Financiero!A9,Tabla_financiero_app.accdb[Fecha],"&gt;"&amp;Financiero!$B$4,Tabla_financiero_app.accdb[Fecha],"&lt;="&amp;Financiero!$C$4)</f>
        <v>0</v>
      </c>
      <c r="C9" s="103" t="e">
        <f t="shared" si="0"/>
        <v>#DIV/0!</v>
      </c>
    </row>
    <row r="10" spans="1:3" x14ac:dyDescent="0.25">
      <c r="A10" s="27" t="s">
        <v>181</v>
      </c>
      <c r="B10" s="91">
        <f>SUMIFS(Tabla_financiero_app.accdb[Importe_Ingreso],Tabla_financiero_app.accdb[Detalle de movimiento],Financiero!A10,Tabla_financiero_app.accdb[Fecha],"&gt;"&amp;Financiero!$B$4,Tabla_financiero_app.accdb[Fecha],"&lt;="&amp;Financiero!$C$4)</f>
        <v>0</v>
      </c>
      <c r="C10" s="103" t="e">
        <f t="shared" si="0"/>
        <v>#DIV/0!</v>
      </c>
    </row>
    <row r="11" spans="1:3" x14ac:dyDescent="0.25">
      <c r="A11" s="27" t="s">
        <v>178</v>
      </c>
      <c r="B11" s="91">
        <f>SUMIFS(Tabla_financiero_app.accdb[Importe_Ingreso],Tabla_financiero_app.accdb[Detalle de movimiento],Financiero!A11,Tabla_financiero_app.accdb[Fecha],"&gt;"&amp;Financiero!$B$4,Tabla_financiero_app.accdb[Fecha],"&lt;="&amp;Financiero!$C$4)</f>
        <v>0</v>
      </c>
      <c r="C11" s="103" t="e">
        <f t="shared" si="0"/>
        <v>#DIV/0!</v>
      </c>
    </row>
    <row r="12" spans="1:3" x14ac:dyDescent="0.25">
      <c r="A12" s="28" t="s">
        <v>156</v>
      </c>
      <c r="B12" s="95">
        <f>SUM(B7:B11)</f>
        <v>0</v>
      </c>
      <c r="C12" s="96" t="e">
        <f>SUM(C7:C11)</f>
        <v>#DIV/0!</v>
      </c>
    </row>
    <row r="13" spans="1:3" x14ac:dyDescent="0.25">
      <c r="A13" s="11"/>
      <c r="B13" s="91"/>
      <c r="C13" s="103"/>
    </row>
    <row r="14" spans="1:3" x14ac:dyDescent="0.25">
      <c r="A14" s="11" t="s">
        <v>157</v>
      </c>
      <c r="B14" s="91"/>
      <c r="C14" s="103"/>
    </row>
    <row r="15" spans="1:3" x14ac:dyDescent="0.25">
      <c r="A15" s="11"/>
      <c r="B15" s="91"/>
      <c r="C15" s="103"/>
    </row>
    <row r="16" spans="1:3" x14ac:dyDescent="0.25">
      <c r="A16" s="27" t="s">
        <v>158</v>
      </c>
      <c r="B16" s="91">
        <f>SUMIFS(Tabla_financiero_app.accdb[Importe_Ingreso],Tabla_financiero_app.accdb[Detalle de movimiento],Financiero!A16,Tabla_financiero_app.accdb[Fecha],"&gt;"&amp;Financiero!$B$4,Tabla_financiero_app.accdb[Fecha],"&lt;="&amp;Financiero!$C$4)</f>
        <v>0</v>
      </c>
      <c r="C16" s="103" t="e">
        <f t="shared" ref="C16:C18" si="1">B16/B$21</f>
        <v>#DIV/0!</v>
      </c>
    </row>
    <row r="17" spans="1:3" x14ac:dyDescent="0.25">
      <c r="A17" s="27" t="s">
        <v>159</v>
      </c>
      <c r="B17" s="91">
        <f>SUMIFS(Tabla_financiero_app.accdb[Importe_Ingreso],Tabla_financiero_app.accdb[Detalle de movimiento],Financiero!A17,Tabla_financiero_app.accdb[Fecha],"&gt;"&amp;Financiero!$B$4,Tabla_financiero_app.accdb[Fecha],"&lt;="&amp;Financiero!$C$4)</f>
        <v>0</v>
      </c>
      <c r="C17" s="103" t="e">
        <f t="shared" si="1"/>
        <v>#DIV/0!</v>
      </c>
    </row>
    <row r="18" spans="1:3" x14ac:dyDescent="0.25">
      <c r="A18" s="27" t="s">
        <v>160</v>
      </c>
      <c r="B18" s="91">
        <f>SUMIFS(Tabla_financiero_app.accdb[Importe_Ingreso],Tabla_financiero_app.accdb[Detalle de movimiento],Financiero!A18,Tabla_financiero_app.accdb[Fecha],"&gt;"&amp;Financiero!$B$4,Tabla_financiero_app.accdb[Fecha],"&lt;="&amp;Financiero!$C$4)</f>
        <v>0</v>
      </c>
      <c r="C18" s="103" t="e">
        <f t="shared" si="1"/>
        <v>#DIV/0!</v>
      </c>
    </row>
    <row r="19" spans="1:3" x14ac:dyDescent="0.25">
      <c r="A19" s="28" t="s">
        <v>161</v>
      </c>
      <c r="B19" s="95">
        <f>SUM(B16:B18)</f>
        <v>0</v>
      </c>
      <c r="C19" s="96" t="e">
        <f>SUM(C16:C18)</f>
        <v>#DIV/0!</v>
      </c>
    </row>
    <row r="20" spans="1:3" x14ac:dyDescent="0.25">
      <c r="A20" s="11"/>
      <c r="B20" s="91"/>
      <c r="C20" s="103"/>
    </row>
    <row r="21" spans="1:3" ht="15.75" thickBot="1" x14ac:dyDescent="0.3">
      <c r="A21" s="119" t="s">
        <v>38</v>
      </c>
      <c r="B21" s="120">
        <f>+B12+B19</f>
        <v>0</v>
      </c>
      <c r="C21" s="121" t="e">
        <f>+C12+C19</f>
        <v>#DIV/0!</v>
      </c>
    </row>
    <row r="22" spans="1:3" x14ac:dyDescent="0.25">
      <c r="A22" s="11"/>
      <c r="B22" s="91"/>
      <c r="C22" s="105"/>
    </row>
    <row r="23" spans="1:3" x14ac:dyDescent="0.25">
      <c r="A23" s="11" t="s">
        <v>162</v>
      </c>
      <c r="B23" s="91"/>
      <c r="C23" s="105"/>
    </row>
    <row r="24" spans="1:3" x14ac:dyDescent="0.25">
      <c r="A24" s="11"/>
      <c r="B24" s="91"/>
      <c r="C24" s="105"/>
    </row>
    <row r="25" spans="1:3" x14ac:dyDescent="0.25">
      <c r="A25" s="27" t="s">
        <v>179</v>
      </c>
      <c r="B25" s="91">
        <f>SUMIFS(Tabla_financiero_app.accdb[Importe_Egreso],Tabla_financiero_app.accdb[Detalle de movimiento],Financiero!A25,Tabla_financiero_app.accdb[Fecha],"&gt;"&amp;Financiero!$B$4,Tabla_financiero_app.accdb[Fecha],"&lt;="&amp;Financiero!$C$4)</f>
        <v>0</v>
      </c>
      <c r="C25" s="103" t="e">
        <f>B25/B$21</f>
        <v>#DIV/0!</v>
      </c>
    </row>
    <row r="26" spans="1:3" x14ac:dyDescent="0.25">
      <c r="A26" s="27" t="s">
        <v>180</v>
      </c>
      <c r="B26" s="91">
        <f>SUMIFS(Tabla_financiero_app.accdb[Importe_Egreso],Tabla_financiero_app.accdb[Detalle de movimiento],Financiero!A26,Tabla_financiero_app.accdb[Fecha],"&gt;"&amp;Financiero!$B$4,Tabla_financiero_app.accdb[Fecha],"&lt;="&amp;Financiero!$C$4)</f>
        <v>0</v>
      </c>
      <c r="C26" s="103" t="e">
        <f t="shared" ref="C26:C33" si="2">B26/B$21</f>
        <v>#DIV/0!</v>
      </c>
    </row>
    <row r="27" spans="1:3" x14ac:dyDescent="0.25">
      <c r="A27" s="27" t="s">
        <v>182</v>
      </c>
      <c r="B27" s="91">
        <f>SUMIFS(Tabla_financiero_app.accdb[Importe_Egreso],Tabla_financiero_app.accdb[Detalle de movimiento],Financiero!A27,Tabla_financiero_app.accdb[Fecha],"&gt;"&amp;Financiero!$B$4,Tabla_financiero_app.accdb[Fecha],"&lt;="&amp;Financiero!$C$4)</f>
        <v>0</v>
      </c>
      <c r="C27" s="103" t="e">
        <f t="shared" si="2"/>
        <v>#DIV/0!</v>
      </c>
    </row>
    <row r="28" spans="1:3" x14ac:dyDescent="0.25">
      <c r="A28" s="27" t="s">
        <v>183</v>
      </c>
      <c r="B28" s="91">
        <f>SUMIFS(Tabla_financiero_app.accdb[Importe_Egreso],Tabla_financiero_app.accdb[Detalle de movimiento],Financiero!A28,Tabla_financiero_app.accdb[Fecha],"&gt;"&amp;Financiero!$B$4,Tabla_financiero_app.accdb[Fecha],"&lt;="&amp;Financiero!$C$4)</f>
        <v>0</v>
      </c>
      <c r="C28" s="103" t="e">
        <f t="shared" si="2"/>
        <v>#DIV/0!</v>
      </c>
    </row>
    <row r="29" spans="1:3" x14ac:dyDescent="0.25">
      <c r="A29" s="27" t="s">
        <v>184</v>
      </c>
      <c r="B29" s="91">
        <f>SUMIFS(Tabla_financiero_app.accdb[Importe_Egreso],Tabla_financiero_app.accdb[Detalle de movimiento],Financiero!A29,Tabla_financiero_app.accdb[Fecha],"&gt;"&amp;Financiero!$B$4,Tabla_financiero_app.accdb[Fecha],"&lt;="&amp;Financiero!$C$4)</f>
        <v>0</v>
      </c>
      <c r="C29" s="103" t="e">
        <f t="shared" si="2"/>
        <v>#DIV/0!</v>
      </c>
    </row>
    <row r="30" spans="1:3" x14ac:dyDescent="0.25">
      <c r="A30" s="27" t="s">
        <v>185</v>
      </c>
      <c r="B30" s="91">
        <f>SUMIFS(Tabla_financiero_app.accdb[Importe_Egreso],Tabla_financiero_app.accdb[Detalle de movimiento],Financiero!A30,Tabla_financiero_app.accdb[Fecha],"&gt;"&amp;Financiero!$B$4,Tabla_financiero_app.accdb[Fecha],"&lt;="&amp;Financiero!$C$4)</f>
        <v>0</v>
      </c>
      <c r="C30" s="103" t="e">
        <f t="shared" si="2"/>
        <v>#DIV/0!</v>
      </c>
    </row>
    <row r="31" spans="1:3" x14ac:dyDescent="0.25">
      <c r="A31" s="27" t="s">
        <v>177</v>
      </c>
      <c r="B31" s="91">
        <f>SUMIFS(Tabla_financiero_app.accdb[Importe_Egreso],Tabla_financiero_app.accdb[Detalle de movimiento],Financiero!A31,Tabla_financiero_app.accdb[Fecha],"&gt;"&amp;Financiero!$B$4,Tabla_financiero_app.accdb[Fecha],"&lt;="&amp;Financiero!$C$4)</f>
        <v>0</v>
      </c>
      <c r="C31" s="103" t="e">
        <f t="shared" si="2"/>
        <v>#DIV/0!</v>
      </c>
    </row>
    <row r="32" spans="1:3" x14ac:dyDescent="0.25">
      <c r="A32" s="27" t="s">
        <v>171</v>
      </c>
      <c r="B32" s="91">
        <f>SUMIFS(Tabla_financiero_app.accdb[Importe_Egreso],Tabla_financiero_app.accdb[Detalle de movimiento],Financiero!A32,Tabla_financiero_app.accdb[Fecha],"&gt;"&amp;Financiero!$B$4,Tabla_financiero_app.accdb[Fecha],"&lt;="&amp;Financiero!$C$4)</f>
        <v>0</v>
      </c>
      <c r="C32" s="103" t="e">
        <f t="shared" si="2"/>
        <v>#DIV/0!</v>
      </c>
    </row>
    <row r="33" spans="1:3" x14ac:dyDescent="0.25">
      <c r="A33" s="27" t="s">
        <v>186</v>
      </c>
      <c r="B33" s="91">
        <f>SUMIFS(Tabla_financiero_app.accdb[Importe_Egreso],Tabla_financiero_app.accdb[Detalle de movimiento],Financiero!A33,Tabla_financiero_app.accdb[Fecha],"&gt;"&amp;Financiero!$B$4,Tabla_financiero_app.accdb[Fecha],"&lt;="&amp;Financiero!$C$4)</f>
        <v>0</v>
      </c>
      <c r="C33" s="103" t="e">
        <f t="shared" si="2"/>
        <v>#DIV/0!</v>
      </c>
    </row>
    <row r="34" spans="1:3" x14ac:dyDescent="0.25">
      <c r="A34" s="28" t="s">
        <v>163</v>
      </c>
      <c r="B34" s="95">
        <f>SUM(B25:B33)</f>
        <v>0</v>
      </c>
      <c r="C34" s="96" t="e">
        <f>SUM(C25:C33)</f>
        <v>#DIV/0!</v>
      </c>
    </row>
    <row r="35" spans="1:3" x14ac:dyDescent="0.25">
      <c r="A35" s="27"/>
      <c r="B35" s="91"/>
      <c r="C35" s="105"/>
    </row>
    <row r="36" spans="1:3" x14ac:dyDescent="0.25">
      <c r="A36" s="11" t="s">
        <v>164</v>
      </c>
      <c r="B36" s="91"/>
      <c r="C36" s="103"/>
    </row>
    <row r="37" spans="1:3" x14ac:dyDescent="0.25">
      <c r="A37" s="87"/>
      <c r="B37" s="87"/>
      <c r="C37" s="105"/>
    </row>
    <row r="38" spans="1:3" x14ac:dyDescent="0.25">
      <c r="A38" s="87" t="s">
        <v>188</v>
      </c>
      <c r="B38" s="91">
        <f>SUMIFS(Tabla_financiero_app.accdb[Importe_Egreso],Tabla_financiero_app.accdb[Detalle de movimiento],Financiero!A38,Tabla_financiero_app.accdb[Fecha],"&gt;"&amp;Financiero!$B$4,Tabla_financiero_app.accdb[Fecha],"&lt;="&amp;Financiero!$C$4)</f>
        <v>0</v>
      </c>
      <c r="C38" s="103" t="e">
        <f t="shared" ref="C38:C44" si="3">B38/B$21</f>
        <v>#DIV/0!</v>
      </c>
    </row>
    <row r="39" spans="1:3" x14ac:dyDescent="0.25">
      <c r="A39" s="87" t="s">
        <v>189</v>
      </c>
      <c r="B39" s="91">
        <f>SUMIFS(Tabla_financiero_app.accdb[Importe_Egreso],Tabla_financiero_app.accdb[Detalle de movimiento],Financiero!A39,Tabla_financiero_app.accdb[Fecha],"&gt;"&amp;Financiero!$B$4,Tabla_financiero_app.accdb[Fecha],"&lt;="&amp;Financiero!$C$4)</f>
        <v>0</v>
      </c>
      <c r="C39" s="103" t="e">
        <f t="shared" si="3"/>
        <v>#DIV/0!</v>
      </c>
    </row>
    <row r="40" spans="1:3" x14ac:dyDescent="0.25">
      <c r="A40" s="87" t="s">
        <v>190</v>
      </c>
      <c r="B40" s="91">
        <f>SUMIFS(Tabla_financiero_app.accdb[Importe_Egreso],Tabla_financiero_app.accdb[Detalle de movimiento],Financiero!A40,Tabla_financiero_app.accdb[Fecha],"&gt;"&amp;Financiero!$B$4,Tabla_financiero_app.accdb[Fecha],"&lt;="&amp;Financiero!$C$4)</f>
        <v>0</v>
      </c>
      <c r="C40" s="103" t="e">
        <f t="shared" si="3"/>
        <v>#DIV/0!</v>
      </c>
    </row>
    <row r="41" spans="1:3" x14ac:dyDescent="0.25">
      <c r="A41" s="87" t="s">
        <v>191</v>
      </c>
      <c r="B41" s="91">
        <f>SUMIFS(Tabla_financiero_app.accdb[Importe_Egreso],Tabla_financiero_app.accdb[Detalle de movimiento],Financiero!A41,Tabla_financiero_app.accdb[Fecha],"&gt;"&amp;Financiero!$B$4,Tabla_financiero_app.accdb[Fecha],"&lt;="&amp;Financiero!$C$4)</f>
        <v>0</v>
      </c>
      <c r="C41" s="103" t="e">
        <f t="shared" si="3"/>
        <v>#DIV/0!</v>
      </c>
    </row>
    <row r="42" spans="1:3" x14ac:dyDescent="0.25">
      <c r="A42" s="87" t="s">
        <v>187</v>
      </c>
      <c r="B42" s="91">
        <f>SUMIFS(Tabla_financiero_app.accdb[Importe_Egreso],Tabla_financiero_app.accdb[Detalle de movimiento],Financiero!A42,Tabla_financiero_app.accdb[Fecha],"&gt;"&amp;Financiero!$B$4,Tabla_financiero_app.accdb[Fecha],"&lt;="&amp;Financiero!$C$4)</f>
        <v>0</v>
      </c>
      <c r="C42" s="103" t="e">
        <f t="shared" si="3"/>
        <v>#DIV/0!</v>
      </c>
    </row>
    <row r="43" spans="1:3" x14ac:dyDescent="0.25">
      <c r="A43" s="87" t="s">
        <v>169</v>
      </c>
      <c r="B43" s="91">
        <f>SUMIFS(Tabla_financiero_app.accdb[Importe_Egreso],Tabla_financiero_app.accdb[Detalle de movimiento],Financiero!A43,Tabla_financiero_app.accdb[Fecha],"&gt;"&amp;Financiero!$B$4,Tabla_financiero_app.accdb[Fecha],"&lt;="&amp;Financiero!$C$4)</f>
        <v>0</v>
      </c>
      <c r="C43" s="103" t="e">
        <f t="shared" si="3"/>
        <v>#DIV/0!</v>
      </c>
    </row>
    <row r="44" spans="1:3" x14ac:dyDescent="0.25">
      <c r="A44" s="87" t="s">
        <v>166</v>
      </c>
      <c r="B44" s="91">
        <f>SUMIFS(Tabla_financiero_app.accdb[Importe_Egreso],Tabla_financiero_app.accdb[Detalle de movimiento],Financiero!A44,Tabla_financiero_app.accdb[Fecha],"&gt;"&amp;Financiero!$B$4,Tabla_financiero_app.accdb[Fecha],"&lt;="&amp;Financiero!$C$4)</f>
        <v>0</v>
      </c>
      <c r="C44" s="103" t="e">
        <f t="shared" si="3"/>
        <v>#DIV/0!</v>
      </c>
    </row>
    <row r="45" spans="1:3" x14ac:dyDescent="0.25">
      <c r="A45" s="28" t="s">
        <v>167</v>
      </c>
      <c r="B45" s="95">
        <f>SUM(B38:B44)</f>
        <v>0</v>
      </c>
      <c r="C45" s="96" t="e">
        <f>SUM(C38:C44)</f>
        <v>#DIV/0!</v>
      </c>
    </row>
    <row r="46" spans="1:3" x14ac:dyDescent="0.25">
      <c r="A46" s="87"/>
      <c r="B46" s="87"/>
      <c r="C46" s="88"/>
    </row>
    <row r="47" spans="1:3" x14ac:dyDescent="0.25">
      <c r="A47" s="11" t="s">
        <v>168</v>
      </c>
      <c r="B47" s="87"/>
      <c r="C47" s="88"/>
    </row>
    <row r="48" spans="1:3" x14ac:dyDescent="0.25">
      <c r="A48" s="87" t="s">
        <v>176</v>
      </c>
      <c r="B48" s="91">
        <f>SUMIFS(Tabla_financiero_app.accdb[Importe_Egreso],Tabla_financiero_app.accdb[Detalle de movimiento],Financiero!A48,Tabla_financiero_app.accdb[Fecha],"&gt;"&amp;Financiero!$B$4,Tabla_financiero_app.accdb[Fecha],"&lt;="&amp;Financiero!$C$4)</f>
        <v>0</v>
      </c>
      <c r="C48" s="103" t="e">
        <f t="shared" ref="C48:C52" si="4">B48/B$21</f>
        <v>#DIV/0!</v>
      </c>
    </row>
    <row r="49" spans="1:3" x14ac:dyDescent="0.25">
      <c r="A49" s="87" t="s">
        <v>165</v>
      </c>
      <c r="B49" s="91">
        <f>SUMIFS(Tabla_financiero_app.accdb[Importe_Egreso],Tabla_financiero_app.accdb[Detalle de movimiento],Financiero!A49,Tabla_financiero_app.accdb[Fecha],"&gt;"&amp;Financiero!$B$4,Tabla_financiero_app.accdb[Fecha],"&lt;="&amp;Financiero!$C$4)</f>
        <v>0</v>
      </c>
      <c r="C49" s="103" t="e">
        <f t="shared" si="4"/>
        <v>#DIV/0!</v>
      </c>
    </row>
    <row r="50" spans="1:3" x14ac:dyDescent="0.25">
      <c r="A50" s="28" t="s">
        <v>167</v>
      </c>
      <c r="B50" s="95">
        <f>SUM(B48:B49)</f>
        <v>0</v>
      </c>
      <c r="C50" s="96" t="e">
        <f t="shared" si="4"/>
        <v>#DIV/0!</v>
      </c>
    </row>
    <row r="51" spans="1:3" x14ac:dyDescent="0.25">
      <c r="A51" s="87"/>
      <c r="B51" s="87"/>
      <c r="C51" s="88"/>
    </row>
    <row r="52" spans="1:3" x14ac:dyDescent="0.25">
      <c r="A52" s="122" t="s">
        <v>80</v>
      </c>
      <c r="B52" s="123">
        <f>B21-B34-B45-B50</f>
        <v>0</v>
      </c>
      <c r="C52" s="124" t="e">
        <f t="shared" si="4"/>
        <v>#DIV/0!</v>
      </c>
    </row>
    <row r="53" spans="1:3" x14ac:dyDescent="0.25">
      <c r="A53" s="87"/>
      <c r="B53" s="87"/>
      <c r="C53" s="88"/>
    </row>
    <row r="54" spans="1:3" x14ac:dyDescent="0.25">
      <c r="A54" s="125" t="s">
        <v>81</v>
      </c>
      <c r="B54" s="87"/>
      <c r="C54" s="88"/>
    </row>
    <row r="55" spans="1:3" x14ac:dyDescent="0.25">
      <c r="A55" s="87"/>
      <c r="B55" s="91">
        <v>0</v>
      </c>
      <c r="C55" s="88"/>
    </row>
    <row r="56" spans="1:3" x14ac:dyDescent="0.25">
      <c r="A56" s="87"/>
      <c r="B56" s="91">
        <v>0</v>
      </c>
      <c r="C56" s="88"/>
    </row>
    <row r="57" spans="1:3" x14ac:dyDescent="0.25">
      <c r="A57" s="87"/>
      <c r="B57" s="91">
        <v>0</v>
      </c>
      <c r="C57" s="88"/>
    </row>
    <row r="58" spans="1:3" x14ac:dyDescent="0.25">
      <c r="A58" s="27"/>
      <c r="B58" s="91">
        <v>0</v>
      </c>
      <c r="C58" s="88"/>
    </row>
    <row r="59" spans="1:3" x14ac:dyDescent="0.25">
      <c r="A59" s="27"/>
      <c r="B59" s="91">
        <v>0</v>
      </c>
      <c r="C59" s="88"/>
    </row>
    <row r="60" spans="1:3" x14ac:dyDescent="0.25">
      <c r="A60" s="27"/>
      <c r="B60" s="91">
        <v>0</v>
      </c>
      <c r="C60" s="88"/>
    </row>
    <row r="61" spans="1:3" x14ac:dyDescent="0.25">
      <c r="A61" s="27"/>
      <c r="B61" s="91">
        <v>0</v>
      </c>
      <c r="C61" s="88"/>
    </row>
    <row r="62" spans="1:3" x14ac:dyDescent="0.25">
      <c r="A62" s="126" t="s">
        <v>82</v>
      </c>
      <c r="B62" s="95">
        <f>SUM(B55:B61)</f>
        <v>0</v>
      </c>
      <c r="C62" s="88"/>
    </row>
  </sheetData>
  <mergeCells count="1">
    <mergeCell ref="B5:C5"/>
  </mergeCells>
  <conditionalFormatting sqref="B52:C52">
    <cfRule type="cellIs" dxfId="12" priority="3" operator="lessThan">
      <formula>0</formula>
    </cfRule>
  </conditionalFormatting>
  <conditionalFormatting sqref="B5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U42"/>
  <sheetViews>
    <sheetView workbookViewId="0">
      <selection activeCell="S6" sqref="S6"/>
    </sheetView>
  </sheetViews>
  <sheetFormatPr baseColWidth="10" defaultRowHeight="15" x14ac:dyDescent="0.25"/>
  <cols>
    <col min="1" max="1" width="32.28515625" bestFit="1" customWidth="1"/>
    <col min="3" max="3" width="14.140625" bestFit="1" customWidth="1"/>
    <col min="4" max="4" width="10.7109375" bestFit="1" customWidth="1"/>
    <col min="5" max="5" width="17.28515625" customWidth="1"/>
    <col min="6" max="6" width="14.42578125" customWidth="1"/>
    <col min="7" max="7" width="15" customWidth="1"/>
    <col min="12" max="12" width="12.42578125" hidden="1" customWidth="1"/>
  </cols>
  <sheetData>
    <row r="1" spans="1:21" x14ac:dyDescent="0.25">
      <c r="A1" s="127" t="s">
        <v>192</v>
      </c>
      <c r="B1" s="127"/>
      <c r="C1" s="127"/>
      <c r="D1" s="127"/>
      <c r="E1" s="127"/>
      <c r="F1" s="127"/>
      <c r="G1" s="127"/>
      <c r="H1" s="127"/>
      <c r="I1" s="127"/>
      <c r="J1" s="127"/>
      <c r="L1" t="s">
        <v>205</v>
      </c>
    </row>
    <row r="2" spans="1:21" x14ac:dyDescent="0.25">
      <c r="C2" s="9">
        <v>44923</v>
      </c>
      <c r="D2" s="1">
        <v>44958</v>
      </c>
      <c r="E2" s="183">
        <v>44986</v>
      </c>
      <c r="F2" s="183">
        <v>45014</v>
      </c>
      <c r="G2" s="183">
        <v>45049</v>
      </c>
      <c r="H2" s="182"/>
      <c r="I2" s="183"/>
      <c r="J2" s="1"/>
      <c r="O2" s="183"/>
      <c r="P2" s="183"/>
      <c r="T2" s="183"/>
      <c r="U2" s="183"/>
    </row>
    <row r="3" spans="1:21" x14ac:dyDescent="0.25">
      <c r="C3" s="128" t="s">
        <v>230</v>
      </c>
      <c r="D3" s="128" t="s">
        <v>231</v>
      </c>
      <c r="E3" s="128" t="s">
        <v>232</v>
      </c>
      <c r="F3" s="128" t="s">
        <v>233</v>
      </c>
      <c r="G3" s="128" t="s">
        <v>234</v>
      </c>
      <c r="H3" s="128" t="s">
        <v>235</v>
      </c>
      <c r="I3" s="128" t="s">
        <v>236</v>
      </c>
      <c r="J3" s="128" t="s">
        <v>237</v>
      </c>
    </row>
    <row r="4" spans="1:21" x14ac:dyDescent="0.25">
      <c r="C4" s="9">
        <v>44958</v>
      </c>
      <c r="D4" s="1">
        <v>44986</v>
      </c>
      <c r="E4" s="183">
        <v>45014</v>
      </c>
      <c r="F4" s="1">
        <v>45049</v>
      </c>
      <c r="G4" s="183">
        <v>45077</v>
      </c>
      <c r="H4" s="183"/>
      <c r="I4" s="1"/>
      <c r="J4" s="1"/>
    </row>
    <row r="5" spans="1:21" x14ac:dyDescent="0.25">
      <c r="A5" s="129" t="s">
        <v>208</v>
      </c>
      <c r="C5" s="132">
        <f>SUMIFS(Tabla_caja_app.accdb[Importe_Saldo_I],Tabla_caja_app.accdb[Detalle de movimiento],Caja!A5,Tabla_caja_app.accdb[Fecha],"&gt;"&amp;Caja!C$2,Tabla_caja_app.accdb[Fecha],"&lt;="&amp;Caja!C$4,Tabla_caja_app.accdb[Estado],Caja!$L$1)</f>
        <v>0</v>
      </c>
      <c r="D5" s="130">
        <f>C23</f>
        <v>0</v>
      </c>
      <c r="E5" s="130">
        <f>D23</f>
        <v>0</v>
      </c>
      <c r="F5" s="130">
        <f t="shared" ref="F5:H5" si="0">E23</f>
        <v>0</v>
      </c>
      <c r="G5" s="130">
        <f t="shared" si="0"/>
        <v>0</v>
      </c>
      <c r="H5" s="130">
        <f t="shared" si="0"/>
        <v>0</v>
      </c>
      <c r="I5" s="130">
        <f t="shared" ref="I5:I6" si="1">H23</f>
        <v>0</v>
      </c>
      <c r="J5" s="130">
        <f t="shared" ref="J5:J6" si="2">I23</f>
        <v>0</v>
      </c>
    </row>
    <row r="6" spans="1:21" x14ac:dyDescent="0.25">
      <c r="A6" s="131" t="s">
        <v>207</v>
      </c>
      <c r="C6" s="132">
        <f>SUMIFS(Tabla_caja_app.accdb[Importe_Saldo_I],Tabla_caja_app.accdb[Detalle de movimiento],Caja!A6,Tabla_caja_app.accdb[Fecha],"&gt;"&amp;Caja!C$2,Tabla_caja_app.accdb[Fecha],"&lt;="&amp;Caja!C$4,Tabla_caja_app.accdb[Estado],Caja!$L$1)</f>
        <v>0</v>
      </c>
      <c r="D6" s="130">
        <f>C24</f>
        <v>0</v>
      </c>
      <c r="E6" s="130">
        <f>D24</f>
        <v>0</v>
      </c>
      <c r="F6" s="130">
        <f t="shared" ref="F6:H6" si="3">E24</f>
        <v>0</v>
      </c>
      <c r="G6" s="130">
        <f t="shared" si="3"/>
        <v>0</v>
      </c>
      <c r="H6" s="130">
        <f t="shared" si="3"/>
        <v>0</v>
      </c>
      <c r="I6" s="130">
        <f t="shared" si="1"/>
        <v>0</v>
      </c>
      <c r="J6" s="130">
        <f t="shared" si="2"/>
        <v>0</v>
      </c>
    </row>
    <row r="7" spans="1:21" x14ac:dyDescent="0.25">
      <c r="A7" s="133" t="s">
        <v>193</v>
      </c>
      <c r="C7" s="134">
        <f>SUM(C5:C6)</f>
        <v>0</v>
      </c>
      <c r="D7" s="134">
        <f t="shared" ref="D7:J7" si="4">SUM(D5:D6)</f>
        <v>0</v>
      </c>
      <c r="E7" s="134">
        <f t="shared" si="4"/>
        <v>0</v>
      </c>
      <c r="F7" s="134">
        <f t="shared" si="4"/>
        <v>0</v>
      </c>
      <c r="G7" s="134">
        <f t="shared" si="4"/>
        <v>0</v>
      </c>
      <c r="H7" s="134">
        <f t="shared" si="4"/>
        <v>0</v>
      </c>
      <c r="I7" s="134">
        <f t="shared" si="4"/>
        <v>0</v>
      </c>
      <c r="J7" s="134">
        <f t="shared" si="4"/>
        <v>0</v>
      </c>
    </row>
    <row r="8" spans="1:21" x14ac:dyDescent="0.25">
      <c r="A8" s="135"/>
      <c r="C8" s="136"/>
      <c r="D8" s="137"/>
      <c r="E8" s="137"/>
      <c r="F8" s="137"/>
      <c r="G8" s="137"/>
      <c r="H8" s="137"/>
      <c r="I8" s="137"/>
      <c r="J8" s="137"/>
    </row>
    <row r="9" spans="1:21" x14ac:dyDescent="0.25">
      <c r="A9" s="138"/>
      <c r="C9" s="136"/>
      <c r="D9" s="138"/>
      <c r="E9" s="138"/>
      <c r="F9" s="138"/>
      <c r="G9" s="138"/>
      <c r="H9" s="138"/>
      <c r="I9" s="138"/>
      <c r="J9" s="138"/>
    </row>
    <row r="10" spans="1:21" x14ac:dyDescent="0.25">
      <c r="A10" s="109" t="s">
        <v>209</v>
      </c>
      <c r="C10" s="132">
        <f>SUMIFS(Tabla_caja_app.accdb[Importe_Ingreso],Tabla_caja_app.accdb[Tipo de movimiento],Caja!A10,Tabla_caja_app.accdb[Fecha],"&gt;"&amp;Caja!C$2,Tabla_caja_app.accdb[Fecha],"&lt;="&amp;Caja!C$4,Tabla_caja_app.accdb[Estado],Caja!$L$1)</f>
        <v>0</v>
      </c>
      <c r="D10" s="132">
        <f>SUMIFS(Tabla_caja_app.accdb[Importe_Ingreso],Tabla_caja_app.accdb[Tipo de movimiento],Caja!B10,Tabla_caja_app.accdb[Fecha],"&gt;"&amp;Caja!D$2,Tabla_caja_app.accdb[Fecha],"&lt;="&amp;Caja!D$4,Tabla_caja_app.accdb[Estado],Caja!$L$1)</f>
        <v>0</v>
      </c>
      <c r="E10" s="132">
        <f>SUMIFS(Tabla_caja_app.accdb[Importe_Ingreso],Tabla_caja_app.accdb[Tipo de movimiento],Caja!C10,Tabla_caja_app.accdb[Fecha],"&gt;"&amp;Caja!E$2,Tabla_caja_app.accdb[Fecha],"&lt;="&amp;Caja!E$4,Tabla_caja_app.accdb[Estado],Caja!$L$1)</f>
        <v>0</v>
      </c>
      <c r="F10" s="132">
        <f>SUMIFS(Tabla_caja_app.accdb[Importe_Ingreso],Tabla_caja_app.accdb[Tipo de movimiento],Caja!A10,Tabla_caja_app.accdb[Fecha],"&gt;"&amp;Caja!F$2,Tabla_caja_app.accdb[Fecha],"&lt;="&amp;Caja!F$4,Tabla_caja_app.accdb[Estado],Caja!$L$1)</f>
        <v>0</v>
      </c>
      <c r="G10" s="132">
        <f>SUMIFS(Tabla_caja_app.accdb[Importe_Ingreso],Tabla_caja_app.accdb[Tipo de movimiento],Caja!A10,Tabla_caja_app.accdb[Fecha],"&gt;"&amp;Caja!G$2,Tabla_caja_app.accdb[Fecha],"&lt;="&amp;Caja!G$4,Tabla_caja_app.accdb[Estado],Caja!$L$1)</f>
        <v>0</v>
      </c>
      <c r="H10" s="132">
        <f>SUMIFS(Tabla_caja_app.accdb[Importe_Ingreso],Tabla_caja_app.accdb[Tipo de movimiento],Caja!$A10,Tabla_caja_app.accdb[Fecha],"&gt;"&amp;Caja!H$2,Tabla_caja_app.accdb[Fecha],"&lt;="&amp;Caja!H$4,Tabla_caja_app.accdb[Estado],Caja!$L$1)</f>
        <v>0</v>
      </c>
      <c r="I10" s="132">
        <f>SUMIFS(Tabla_caja_app.accdb[Importe_Ingreso],Tabla_caja_app.accdb[Tipo de movimiento],Caja!A10,Tabla_caja_app.accdb[Fecha],"&gt;"&amp;Caja!I$2,Tabla_caja_app.accdb[Fecha],"&lt;="&amp;Caja!I$4,Tabla_caja_app.accdb[Estado],Caja!$L$1)</f>
        <v>0</v>
      </c>
      <c r="J10" s="132">
        <f>SUMIFS(Tabla_caja_app.accdb[Importe_Ingreso],Tabla_caja_app.accdb[Tipo de movimiento],Caja!A10,Tabla_caja_app.accdb[Fecha],"&gt;"&amp;Caja!J$2,Tabla_caja_app.accdb[Fecha],"&lt;="&amp;Caja!J$4,Tabla_caja_app.accdb[Estado],Caja!$L$1)</f>
        <v>0</v>
      </c>
    </row>
    <row r="11" spans="1:21" x14ac:dyDescent="0.25">
      <c r="A11" s="109" t="s">
        <v>210</v>
      </c>
      <c r="C11" s="132">
        <f>SUMIFS(Tabla_caja_app.accdb[Importe_Ingreso],Tabla_caja_app.accdb[Tipo de movimiento],Caja!A11,Tabla_caja_app.accdb[Fecha],"&gt;"&amp;Caja!C$2,Tabla_caja_app.accdb[Fecha],"&lt;="&amp;Caja!C$4,Tabla_caja_app.accdb[Estado],Caja!$L$1)</f>
        <v>0</v>
      </c>
      <c r="D11" s="132">
        <f>SUMIFS(Tabla_caja_app.accdb[Importe_Ingreso],Tabla_caja_app.accdb[Tipo de movimiento],Caja!B11,Tabla_caja_app.accdb[Fecha],"&gt;"&amp;Caja!D$2,Tabla_caja_app.accdb[Fecha],"&lt;="&amp;Caja!D$4,Tabla_caja_app.accdb[Estado],Caja!$L$1)</f>
        <v>0</v>
      </c>
      <c r="E11" s="132">
        <f>SUMIFS(Tabla_caja_app.accdb[Importe_Ingreso],Tabla_caja_app.accdb[Tipo de movimiento],Caja!C11,Tabla_caja_app.accdb[Fecha],"&gt;"&amp;Caja!E$2,Tabla_caja_app.accdb[Fecha],"&lt;="&amp;Caja!E$4,Tabla_caja_app.accdb[Estado],Caja!$L$1)</f>
        <v>0</v>
      </c>
      <c r="F11" s="132">
        <f>SUMIFS(Tabla_caja_app.accdb[Importe_Ingreso],Tabla_caja_app.accdb[Tipo de movimiento],Caja!A11,Tabla_caja_app.accdb[Fecha],"&gt;"&amp;Caja!F$2,Tabla_caja_app.accdb[Fecha],"&lt;="&amp;Caja!F$4,Tabla_caja_app.accdb[Estado],Caja!$L$1)</f>
        <v>0</v>
      </c>
      <c r="G11" s="132">
        <f>SUMIFS(Tabla_caja_app.accdb[Importe_Ingreso],Tabla_caja_app.accdb[Tipo de movimiento],Caja!A11,Tabla_caja_app.accdb[Fecha],"&gt;"&amp;Caja!G$2,Tabla_caja_app.accdb[Fecha],"&lt;="&amp;Caja!G$4,Tabla_caja_app.accdb[Estado],Caja!$L$1)</f>
        <v>0</v>
      </c>
      <c r="H11" s="132">
        <f>SUMIFS(Tabla_caja_app.accdb[Importe_Ingreso],Tabla_caja_app.accdb[Tipo de movimiento],Caja!A11,Tabla_caja_app.accdb[Fecha],"&gt;"&amp;Caja!H$2,Tabla_caja_app.accdb[Fecha],"&lt;="&amp;Caja!H$4,Tabla_caja_app.accdb[Estado],Caja!$L$1)</f>
        <v>0</v>
      </c>
      <c r="I11" s="132">
        <f>SUMIFS(Tabla_caja_app.accdb[Importe_Ingreso],Tabla_caja_app.accdb[Tipo de movimiento],Caja!A11,Tabla_caja_app.accdb[Fecha],"&gt;"&amp;Caja!I$2,Tabla_caja_app.accdb[Fecha],"&lt;="&amp;Caja!I$4,Tabla_caja_app.accdb[Estado],Caja!$L$1)</f>
        <v>0</v>
      </c>
      <c r="J11" s="132">
        <f>SUMIFS(Tabla_caja_app.accdb[Importe_Ingreso],Tabla_caja_app.accdb[Tipo de movimiento],Caja!A11,Tabla_caja_app.accdb[Fecha],"&gt;"&amp;Caja!J$2,Tabla_caja_app.accdb[Fecha],"&lt;="&amp;Caja!J$4,Tabla_caja_app.accdb[Estado],Caja!$L$1)</f>
        <v>0</v>
      </c>
    </row>
    <row r="12" spans="1:21" x14ac:dyDescent="0.25">
      <c r="A12" s="139" t="s">
        <v>38</v>
      </c>
      <c r="B12" s="140"/>
      <c r="C12" s="141">
        <f t="shared" ref="C12:J12" si="5">SUM(C10:C11)</f>
        <v>0</v>
      </c>
      <c r="D12" s="141">
        <f t="shared" si="5"/>
        <v>0</v>
      </c>
      <c r="E12" s="141">
        <f t="shared" si="5"/>
        <v>0</v>
      </c>
      <c r="F12" s="141">
        <f t="shared" si="5"/>
        <v>0</v>
      </c>
      <c r="G12" s="141">
        <f t="shared" si="5"/>
        <v>0</v>
      </c>
      <c r="H12" s="141">
        <f t="shared" si="5"/>
        <v>0</v>
      </c>
      <c r="I12" s="141">
        <f t="shared" si="5"/>
        <v>0</v>
      </c>
      <c r="J12" s="141">
        <f t="shared" si="5"/>
        <v>0</v>
      </c>
    </row>
    <row r="13" spans="1:21" x14ac:dyDescent="0.25">
      <c r="A13" s="109"/>
      <c r="C13" s="142"/>
      <c r="D13" s="142"/>
      <c r="E13" s="142"/>
      <c r="F13" s="142"/>
      <c r="G13" s="142"/>
      <c r="H13" s="142"/>
      <c r="I13" s="142"/>
      <c r="J13" s="142"/>
    </row>
    <row r="14" spans="1:21" x14ac:dyDescent="0.25">
      <c r="A14" s="109" t="s">
        <v>211</v>
      </c>
      <c r="C14" s="132">
        <f>SUMIFS(Tabla_caja_app.accdb[Importe_Egresos],Tabla_caja_app.accdb[Tipo de movimiento],Caja!A14,Tabla_caja_app.accdb[Fecha],"&gt;"&amp;Caja!C$2,Tabla_caja_app.accdb[Fecha],"&lt;="&amp;Caja!C$4,Tabla_caja_app.accdb[Estado],Caja!$L$1)</f>
        <v>0</v>
      </c>
      <c r="D14" s="132">
        <f>SUMIFS(Tabla_caja_app.accdb[Importe_Egresos],Tabla_caja_app.accdb[Tipo de movimiento],Caja!B14,Tabla_caja_app.accdb[Fecha],"&gt;"&amp;Caja!D$2,Tabla_caja_app.accdb[Fecha],"&lt;="&amp;Caja!D$4,Tabla_caja_app.accdb[Estado],Caja!$L$1)</f>
        <v>0</v>
      </c>
      <c r="E14" s="132">
        <f>SUMIFS(Tabla_caja_app.accdb[Importe_Egresos],Tabla_caja_app.accdb[Tipo de movimiento],Caja!C14,Tabla_caja_app.accdb[Fecha],"&gt;"&amp;Caja!E$2,Tabla_caja_app.accdb[Fecha],"&lt;="&amp;Caja!E$4,Tabla_caja_app.accdb[Estado],Caja!$L$1)</f>
        <v>0</v>
      </c>
      <c r="F14" s="132">
        <f>SUMIFS(Tabla_caja_app.accdb[Importe_Egresos],Tabla_caja_app.accdb[Tipo de movimiento],Caja!A14,Tabla_caja_app.accdb[Fecha],"&gt;"&amp;Caja!F$2,Tabla_caja_app.accdb[Fecha],"&lt;="&amp;Caja!F$4,Tabla_caja_app.accdb[Estado],Caja!$L$1)</f>
        <v>0</v>
      </c>
      <c r="G14" s="132">
        <f>SUMIFS(Tabla_caja_app.accdb[Importe_Egresos],Tabla_caja_app.accdb[Tipo de movimiento],Caja!A14,Tabla_caja_app.accdb[Fecha],"&gt;"&amp;Caja!G$2,Tabla_caja_app.accdb[Fecha],"&lt;="&amp;Caja!G$4,Tabla_caja_app.accdb[Estado],Caja!$L$1)</f>
        <v>0</v>
      </c>
      <c r="H14" s="132">
        <f>SUMIFS(Tabla_caja_app.accdb[Importe_Egresos],Tabla_caja_app.accdb[Tipo de movimiento],Caja!A14,Tabla_caja_app.accdb[Fecha],"&gt;"&amp;Caja!H$2,Tabla_caja_app.accdb[Fecha],"&lt;="&amp;Caja!H$4,Tabla_caja_app.accdb[Estado],Caja!$L$1)</f>
        <v>0</v>
      </c>
      <c r="I14" s="132">
        <f>SUMIFS(Tabla_caja_app.accdb[Importe_Egresos],Tabla_caja_app.accdb[Tipo de movimiento],Caja!A14,Tabla_caja_app.accdb[Fecha],"&gt;"&amp;Caja!I$2,Tabla_caja_app.accdb[Fecha],"&lt;="&amp;Caja!I$4,Tabla_caja_app.accdb[Estado],Caja!$L$1)</f>
        <v>0</v>
      </c>
      <c r="J14" s="132">
        <f>SUMIFS(Tabla_caja_app.accdb[Importe_Egresos],Tabla_caja_app.accdb[Tipo de movimiento],Caja!A14,Tabla_caja_app.accdb[Fecha],"&gt;"&amp;Caja!J$2,Tabla_caja_app.accdb[Fecha],"&lt;="&amp;Caja!J$4,Tabla_caja_app.accdb[Estado],Caja!$L$1)</f>
        <v>0</v>
      </c>
    </row>
    <row r="15" spans="1:21" x14ac:dyDescent="0.25">
      <c r="A15" s="109" t="s">
        <v>212</v>
      </c>
      <c r="C15" s="132">
        <f>SUMIFS(Tabla_caja_app.accdb[Importe_Egresos],Tabla_caja_app.accdb[Tipo de movimiento],Caja!A15,Tabla_caja_app.accdb[Fecha],"&gt;"&amp;Caja!C$2,Tabla_caja_app.accdb[Fecha],"&lt;="&amp;Caja!C$4,Tabla_caja_app.accdb[Estado],Caja!$L$1)</f>
        <v>0</v>
      </c>
      <c r="D15" s="132">
        <f>SUMIFS(Tabla_caja_app.accdb[Importe_Egresos],Tabla_caja_app.accdb[Tipo de movimiento],Caja!B15,Tabla_caja_app.accdb[Fecha],"&gt;"&amp;Caja!D$2,Tabla_caja_app.accdb[Fecha],"&lt;="&amp;Caja!D$4,Tabla_caja_app.accdb[Estado],Caja!$L$1)</f>
        <v>0</v>
      </c>
      <c r="E15" s="132">
        <f>SUMIFS(Tabla_caja_app.accdb[Importe_Egresos],Tabla_caja_app.accdb[Tipo de movimiento],Caja!C15,Tabla_caja_app.accdb[Fecha],"&gt;"&amp;Caja!E$2,Tabla_caja_app.accdb[Fecha],"&lt;="&amp;Caja!E$4,Tabla_caja_app.accdb[Estado],Caja!$L$1)</f>
        <v>0</v>
      </c>
      <c r="F15" s="132">
        <f>SUMIFS(Tabla_caja_app.accdb[Importe_Egresos],Tabla_caja_app.accdb[Tipo de movimiento],Caja!A15,Tabla_caja_app.accdb[Fecha],"&gt;"&amp;Caja!F$2,Tabla_caja_app.accdb[Fecha],"&lt;="&amp;Caja!F$4,Tabla_caja_app.accdb[Estado],Caja!$L$1)</f>
        <v>0</v>
      </c>
      <c r="G15" s="132">
        <f>SUMIFS(Tabla_caja_app.accdb[Importe_Egresos],Tabla_caja_app.accdb[Tipo de movimiento],Caja!A15,Tabla_caja_app.accdb[Fecha],"&gt;"&amp;Caja!G$2,Tabla_caja_app.accdb[Fecha],"&lt;="&amp;Caja!G$4,Tabla_caja_app.accdb[Estado],Caja!$L$1)</f>
        <v>0</v>
      </c>
      <c r="H15" s="132">
        <f>SUMIFS(Tabla_caja_app.accdb[Importe_Egresos],Tabla_caja_app.accdb[Tipo de movimiento],Caja!A15,Tabla_caja_app.accdb[Fecha],"&gt;"&amp;Caja!H$2,Tabla_caja_app.accdb[Fecha],"&lt;="&amp;Caja!H$4,Tabla_caja_app.accdb[Estado],Caja!$L$1)</f>
        <v>0</v>
      </c>
      <c r="I15" s="132">
        <f>SUMIFS(Tabla_caja_app.accdb[Importe_Egresos],Tabla_caja_app.accdb[Tipo de movimiento],Caja!A15,Tabla_caja_app.accdb[Fecha],"&gt;"&amp;Caja!I$2,Tabla_caja_app.accdb[Fecha],"&lt;="&amp;Caja!I$4,Tabla_caja_app.accdb[Estado],Caja!$L$1)</f>
        <v>0</v>
      </c>
      <c r="J15" s="132">
        <f>SUMIFS(Tabla_caja_app.accdb[Importe_Egresos],Tabla_caja_app.accdb[Tipo de movimiento],Caja!A15,Tabla_caja_app.accdb[Fecha],"&gt;"&amp;Caja!J$2,Tabla_caja_app.accdb[Fecha],"&lt;="&amp;Caja!J$4,Tabla_caja_app.accdb[Estado],Caja!$L$1)</f>
        <v>0</v>
      </c>
    </row>
    <row r="16" spans="1:21" x14ac:dyDescent="0.25">
      <c r="A16" s="139" t="s">
        <v>194</v>
      </c>
      <c r="B16" s="140"/>
      <c r="C16" s="141">
        <f t="shared" ref="C16:J16" si="6">SUM(C14:C15)</f>
        <v>0</v>
      </c>
      <c r="D16" s="141">
        <f t="shared" si="6"/>
        <v>0</v>
      </c>
      <c r="E16" s="141">
        <f t="shared" si="6"/>
        <v>0</v>
      </c>
      <c r="F16" s="141">
        <f t="shared" si="6"/>
        <v>0</v>
      </c>
      <c r="G16" s="141">
        <f t="shared" si="6"/>
        <v>0</v>
      </c>
      <c r="H16" s="141">
        <f t="shared" si="6"/>
        <v>0</v>
      </c>
      <c r="I16" s="141">
        <f t="shared" si="6"/>
        <v>0</v>
      </c>
      <c r="J16" s="141">
        <f t="shared" si="6"/>
        <v>0</v>
      </c>
    </row>
    <row r="17" spans="1:10" x14ac:dyDescent="0.25">
      <c r="A17" s="143"/>
      <c r="C17" s="142"/>
      <c r="D17" s="142"/>
      <c r="E17" s="142"/>
      <c r="F17" s="142"/>
      <c r="G17" s="142"/>
      <c r="H17" s="142"/>
      <c r="I17" s="142"/>
      <c r="J17" s="142"/>
    </row>
    <row r="18" spans="1:10" x14ac:dyDescent="0.25">
      <c r="A18" s="144" t="s">
        <v>195</v>
      </c>
      <c r="B18" s="140"/>
      <c r="C18" s="145">
        <f t="shared" ref="C18:J19" si="7">C5</f>
        <v>0</v>
      </c>
      <c r="D18" s="145">
        <f t="shared" si="7"/>
        <v>0</v>
      </c>
      <c r="E18" s="145">
        <f t="shared" si="7"/>
        <v>0</v>
      </c>
      <c r="F18" s="145">
        <f>F5</f>
        <v>0</v>
      </c>
      <c r="G18" s="145">
        <f t="shared" si="7"/>
        <v>0</v>
      </c>
      <c r="H18" s="145">
        <f t="shared" si="7"/>
        <v>0</v>
      </c>
      <c r="I18" s="145">
        <f t="shared" si="7"/>
        <v>0</v>
      </c>
      <c r="J18" s="145">
        <f t="shared" si="7"/>
        <v>0</v>
      </c>
    </row>
    <row r="19" spans="1:10" x14ac:dyDescent="0.25">
      <c r="A19" s="146" t="s">
        <v>196</v>
      </c>
      <c r="B19" s="147"/>
      <c r="C19" s="148">
        <f t="shared" si="7"/>
        <v>0</v>
      </c>
      <c r="D19" s="148">
        <f t="shared" si="7"/>
        <v>0</v>
      </c>
      <c r="E19" s="148">
        <f t="shared" si="7"/>
        <v>0</v>
      </c>
      <c r="F19" s="148">
        <f t="shared" si="7"/>
        <v>0</v>
      </c>
      <c r="G19" s="148">
        <f t="shared" si="7"/>
        <v>0</v>
      </c>
      <c r="H19" s="148">
        <f t="shared" si="7"/>
        <v>0</v>
      </c>
      <c r="I19" s="148">
        <f t="shared" si="7"/>
        <v>0</v>
      </c>
      <c r="J19" s="148">
        <f t="shared" si="7"/>
        <v>0</v>
      </c>
    </row>
    <row r="20" spans="1:10" x14ac:dyDescent="0.25">
      <c r="A20" s="109" t="s">
        <v>197</v>
      </c>
      <c r="C20" s="142">
        <f t="shared" ref="C20:J20" si="8">C12</f>
        <v>0</v>
      </c>
      <c r="D20" s="142">
        <f t="shared" si="8"/>
        <v>0</v>
      </c>
      <c r="E20" s="142">
        <f t="shared" si="8"/>
        <v>0</v>
      </c>
      <c r="F20" s="142">
        <f t="shared" si="8"/>
        <v>0</v>
      </c>
      <c r="G20" s="142">
        <f t="shared" si="8"/>
        <v>0</v>
      </c>
      <c r="H20" s="142">
        <f t="shared" si="8"/>
        <v>0</v>
      </c>
      <c r="I20" s="142">
        <f t="shared" si="8"/>
        <v>0</v>
      </c>
      <c r="J20" s="142">
        <f t="shared" si="8"/>
        <v>0</v>
      </c>
    </row>
    <row r="21" spans="1:10" x14ac:dyDescent="0.25">
      <c r="A21" s="109" t="s">
        <v>194</v>
      </c>
      <c r="C21" s="142">
        <f t="shared" ref="C21:J21" si="9">C16</f>
        <v>0</v>
      </c>
      <c r="D21" s="142">
        <f t="shared" si="9"/>
        <v>0</v>
      </c>
      <c r="E21" s="142">
        <f t="shared" si="9"/>
        <v>0</v>
      </c>
      <c r="F21" s="142">
        <f t="shared" si="9"/>
        <v>0</v>
      </c>
      <c r="G21" s="142">
        <f t="shared" si="9"/>
        <v>0</v>
      </c>
      <c r="H21" s="142">
        <f t="shared" si="9"/>
        <v>0</v>
      </c>
      <c r="I21" s="142">
        <f t="shared" si="9"/>
        <v>0</v>
      </c>
      <c r="J21" s="142">
        <f t="shared" si="9"/>
        <v>0</v>
      </c>
    </row>
    <row r="22" spans="1:10" x14ac:dyDescent="0.25">
      <c r="A22" s="143"/>
      <c r="C22" s="142"/>
      <c r="D22" s="142"/>
      <c r="E22" s="142"/>
      <c r="F22" s="142"/>
      <c r="G22" s="142"/>
      <c r="H22" s="142"/>
      <c r="I22" s="142"/>
      <c r="J22" s="142"/>
    </row>
    <row r="23" spans="1:10" x14ac:dyDescent="0.25">
      <c r="A23" s="143" t="s">
        <v>213</v>
      </c>
      <c r="C23" s="132">
        <f>SUMIFS(Tabla_caja_app.accdb[Importe_Saldo_F],Tabla_caja_app.accdb[Detalle de movimiento],Caja!A23,Tabla_caja_app.accdb[Fecha],"&gt;"&amp;Caja!C$2,Tabla_caja_app.accdb[Fecha],"&lt;="&amp;Caja!C$4,Tabla_caja_app.accdb[Estado],Caja!$L$1)</f>
        <v>0</v>
      </c>
      <c r="D23" s="132">
        <f>SUMIFS(Tabla_caja_app.accdb[Importe_Saldo_F],Tabla_caja_app.accdb[Detalle de movimiento],Caja!B23,Tabla_caja_app.accdb[Fecha],"&gt;"&amp;Caja!D$2,Tabla_caja_app.accdb[Fecha],"&lt;="&amp;Caja!D$4,Tabla_caja_app.accdb[Estado],Caja!$L$1)</f>
        <v>0</v>
      </c>
      <c r="E23" s="132">
        <f>SUMIFS(Tabla_caja_app.accdb[Importe_Saldo_F],Tabla_caja_app.accdb[Detalle de movimiento],Caja!C23,Tabla_caja_app.accdb[Fecha],"&gt;"&amp;Caja!E$2,Tabla_caja_app.accdb[Fecha],"&lt;="&amp;Caja!E$4,Tabla_caja_app.accdb[Estado],Caja!$L$1)</f>
        <v>0</v>
      </c>
      <c r="F23" s="132">
        <f>SUMIFS(Tabla_caja_app.accdb[Importe_Saldo_F],Tabla_caja_app.accdb[Detalle de movimiento],Caja!A23,Tabla_caja_app.accdb[Fecha],"&gt;"&amp;Caja!F$2,Tabla_caja_app.accdb[Fecha],"&lt;="&amp;Caja!F$4,Tabla_caja_app.accdb[Estado],Caja!$L$1)</f>
        <v>0</v>
      </c>
      <c r="G23" s="132">
        <f>SUMIFS(Tabla_caja_app.accdb[Importe_Saldo_F],Tabla_caja_app.accdb[Detalle de movimiento],Caja!A23,Tabla_caja_app.accdb[Fecha],"&gt;"&amp;Caja!G$2,Tabla_caja_app.accdb[Fecha],"&lt;="&amp;Caja!G$4,Tabla_caja_app.accdb[Estado],Caja!$L$1)</f>
        <v>0</v>
      </c>
      <c r="H23" s="132">
        <f>SUMIFS(Tabla_caja_app.accdb[Importe_Saldo_F],Tabla_caja_app.accdb[Detalle de movimiento],Caja!A23,Tabla_caja_app.accdb[Fecha],"&gt;"&amp;Caja!H$2,Tabla_caja_app.accdb[Fecha],"&lt;="&amp;Caja!H$4,Tabla_caja_app.accdb[Estado],Caja!$L$1)</f>
        <v>0</v>
      </c>
      <c r="I23" s="132">
        <f>SUMIFS(Tabla_caja_app.accdb[Importe_Saldo_F],Tabla_caja_app.accdb[Detalle de movimiento],Caja!A23,Tabla_caja_app.accdb[Fecha],"&gt;"&amp;Caja!I$2,Tabla_caja_app.accdb[Fecha],"&lt;="&amp;Caja!I$4,Tabla_caja_app.accdb[Estado],Caja!$L$1)</f>
        <v>0</v>
      </c>
      <c r="J23" s="132">
        <f>SUMIFS(Tabla_caja_app.accdb[Importe_Saldo_F],Tabla_caja_app.accdb[Detalle de movimiento],Caja!A23,Tabla_caja_app.accdb[Fecha],"&gt;"&amp;Caja!J$2,Tabla_caja_app.accdb[Fecha],"&lt;="&amp;Caja!J$4,Tabla_caja_app.accdb[Estado],Caja!$L$1)</f>
        <v>0</v>
      </c>
    </row>
    <row r="24" spans="1:10" x14ac:dyDescent="0.25">
      <c r="A24" s="143" t="s">
        <v>206</v>
      </c>
      <c r="C24" s="132">
        <f>SUMIFS(Tabla_caja_app.accdb[Importe_Saldo_F],Tabla_caja_app.accdb[Detalle de movimiento],Caja!A24,Tabla_caja_app.accdb[Fecha],"&gt;"&amp;Caja!C$2,Tabla_caja_app.accdb[Fecha],"&lt;="&amp;Caja!C$4,Tabla_caja_app.accdb[Estado],Caja!$L$1)</f>
        <v>0</v>
      </c>
      <c r="D24" s="132">
        <f>SUMIFS(Tabla_caja_app.accdb[Importe_Saldo_F],Tabla_caja_app.accdb[Detalle de movimiento],Caja!B24,Tabla_caja_app.accdb[Fecha],"&gt;"&amp;Caja!D$2,Tabla_caja_app.accdb[Fecha],"&lt;="&amp;Caja!D$4,Tabla_caja_app.accdb[Estado],Caja!$L$1)</f>
        <v>0</v>
      </c>
      <c r="E24" s="132">
        <f>SUMIFS(Tabla_caja_app.accdb[Importe_Saldo_F],Tabla_caja_app.accdb[Detalle de movimiento],Caja!C24,Tabla_caja_app.accdb[Fecha],"&gt;"&amp;Caja!E$2,Tabla_caja_app.accdb[Fecha],"&lt;="&amp;Caja!E$4,Tabla_caja_app.accdb[Estado],Caja!$L$1)</f>
        <v>0</v>
      </c>
      <c r="F24" s="132">
        <f>SUMIFS(Tabla_caja_app.accdb[Importe_Saldo_F],Tabla_caja_app.accdb[Detalle de movimiento],Caja!A24,Tabla_caja_app.accdb[Fecha],"&gt;"&amp;Caja!F$2,Tabla_caja_app.accdb[Fecha],"&lt;="&amp;Caja!F$4,Tabla_caja_app.accdb[Estado],Caja!$L$1)</f>
        <v>0</v>
      </c>
      <c r="G24" s="132">
        <f>SUMIFS(Tabla_caja_app.accdb[Importe_Saldo_F],Tabla_caja_app.accdb[Detalle de movimiento],Caja!A24,Tabla_caja_app.accdb[Fecha],"&gt;"&amp;Caja!G$2,Tabla_caja_app.accdb[Fecha],"&lt;="&amp;Caja!G$4,Tabla_caja_app.accdb[Estado],Caja!$L$1)</f>
        <v>0</v>
      </c>
      <c r="H24" s="132">
        <f>SUMIFS(Tabla_caja_app.accdb[Importe_Saldo_F],Tabla_caja_app.accdb[Detalle de movimiento],Caja!A24,Tabla_caja_app.accdb[Fecha],"&gt;"&amp;Caja!H$2,Tabla_caja_app.accdb[Fecha],"&lt;="&amp;Caja!H$4,Tabla_caja_app.accdb[Estado],Caja!$L$1)</f>
        <v>0</v>
      </c>
      <c r="I24" s="132">
        <f>SUMIFS(Tabla_caja_app.accdb[Importe_Saldo_F],Tabla_caja_app.accdb[Detalle de movimiento],Caja!A24,Tabla_caja_app.accdb[Fecha],"&gt;"&amp;Caja!I$2,Tabla_caja_app.accdb[Fecha],"&lt;="&amp;Caja!I$4,Tabla_caja_app.accdb[Estado],Caja!$L$1)</f>
        <v>0</v>
      </c>
      <c r="J24" s="132">
        <f>SUMIFS(Tabla_caja_app.accdb[Importe_Saldo_F],Tabla_caja_app.accdb[Detalle de movimiento],Caja!A24,Tabla_caja_app.accdb[Fecha],"&gt;"&amp;Caja!J$2,Tabla_caja_app.accdb[Fecha],"&lt;="&amp;Caja!J$4,Tabla_caja_app.accdb[Estado],Caja!$L$1)</f>
        <v>0</v>
      </c>
    </row>
    <row r="25" spans="1:10" x14ac:dyDescent="0.25">
      <c r="C25" s="142">
        <f t="shared" ref="C25:J25" si="10">SUM(C23:C24)</f>
        <v>0</v>
      </c>
      <c r="D25" s="142">
        <f t="shared" si="10"/>
        <v>0</v>
      </c>
      <c r="E25" s="142">
        <f>SUM(E23:E24)</f>
        <v>0</v>
      </c>
      <c r="F25" s="142">
        <f t="shared" si="10"/>
        <v>0</v>
      </c>
      <c r="G25" s="142">
        <f t="shared" si="10"/>
        <v>0</v>
      </c>
      <c r="H25" s="142">
        <f t="shared" si="10"/>
        <v>0</v>
      </c>
      <c r="I25" s="142">
        <f t="shared" si="10"/>
        <v>0</v>
      </c>
      <c r="J25" s="142">
        <f t="shared" si="10"/>
        <v>0</v>
      </c>
    </row>
    <row r="26" spans="1:10" x14ac:dyDescent="0.25">
      <c r="C26" s="142"/>
      <c r="D26" s="142"/>
      <c r="E26" s="142"/>
      <c r="F26" s="142"/>
      <c r="G26" s="142"/>
      <c r="H26" s="142"/>
      <c r="I26" s="142"/>
      <c r="J26" s="142"/>
    </row>
    <row r="27" spans="1:10" x14ac:dyDescent="0.25">
      <c r="A27" s="153" t="s">
        <v>216</v>
      </c>
      <c r="B27" s="154"/>
      <c r="C27" s="155">
        <f t="shared" ref="C27:J28" si="11">C5+C10-C14</f>
        <v>0</v>
      </c>
      <c r="D27" s="155">
        <f t="shared" si="11"/>
        <v>0</v>
      </c>
      <c r="E27" s="155">
        <f t="shared" si="11"/>
        <v>0</v>
      </c>
      <c r="F27" s="155">
        <f>F5+F10-F14</f>
        <v>0</v>
      </c>
      <c r="G27" s="155">
        <f t="shared" si="11"/>
        <v>0</v>
      </c>
      <c r="H27" s="155">
        <f t="shared" si="11"/>
        <v>0</v>
      </c>
      <c r="I27" s="155">
        <f t="shared" si="11"/>
        <v>0</v>
      </c>
      <c r="J27" s="155">
        <f t="shared" si="11"/>
        <v>0</v>
      </c>
    </row>
    <row r="28" spans="1:10" x14ac:dyDescent="0.25">
      <c r="A28" s="156" t="s">
        <v>217</v>
      </c>
      <c r="B28" s="157"/>
      <c r="C28" s="158">
        <f t="shared" si="11"/>
        <v>0</v>
      </c>
      <c r="D28" s="158">
        <f t="shared" si="11"/>
        <v>0</v>
      </c>
      <c r="E28" s="158">
        <f t="shared" si="11"/>
        <v>0</v>
      </c>
      <c r="F28" s="158">
        <f t="shared" si="11"/>
        <v>0</v>
      </c>
      <c r="G28" s="158">
        <f t="shared" si="11"/>
        <v>0</v>
      </c>
      <c r="H28" s="158">
        <f t="shared" si="11"/>
        <v>0</v>
      </c>
      <c r="I28" s="158">
        <f t="shared" si="11"/>
        <v>0</v>
      </c>
      <c r="J28" s="158">
        <f t="shared" si="11"/>
        <v>0</v>
      </c>
    </row>
    <row r="29" spans="1:10" x14ac:dyDescent="0.25">
      <c r="A29" s="161" t="s">
        <v>220</v>
      </c>
      <c r="B29" s="162"/>
      <c r="C29" s="163">
        <f t="shared" ref="C29:J29" si="12">SUM(C27:C28)</f>
        <v>0</v>
      </c>
      <c r="D29" s="163">
        <f t="shared" si="12"/>
        <v>0</v>
      </c>
      <c r="E29" s="163">
        <f t="shared" si="12"/>
        <v>0</v>
      </c>
      <c r="F29" s="163">
        <f t="shared" si="12"/>
        <v>0</v>
      </c>
      <c r="G29" s="163">
        <f t="shared" si="12"/>
        <v>0</v>
      </c>
      <c r="H29" s="163">
        <f t="shared" si="12"/>
        <v>0</v>
      </c>
      <c r="I29" s="163">
        <f t="shared" si="12"/>
        <v>0</v>
      </c>
      <c r="J29" s="163">
        <f t="shared" si="12"/>
        <v>0</v>
      </c>
    </row>
    <row r="30" spans="1:10" x14ac:dyDescent="0.25">
      <c r="A30" s="157"/>
      <c r="B30" s="157"/>
      <c r="C30" s="158"/>
      <c r="D30" s="158"/>
      <c r="E30" s="158"/>
      <c r="F30" s="158"/>
      <c r="G30" s="158"/>
      <c r="H30" s="158"/>
      <c r="I30" s="158"/>
      <c r="J30" s="158"/>
    </row>
    <row r="31" spans="1:10" x14ac:dyDescent="0.25">
      <c r="A31" s="156" t="s">
        <v>214</v>
      </c>
      <c r="B31" s="157"/>
      <c r="C31" s="159">
        <v>0</v>
      </c>
      <c r="D31" s="159">
        <v>0</v>
      </c>
      <c r="E31" s="159">
        <v>0</v>
      </c>
      <c r="F31" s="159">
        <v>0</v>
      </c>
      <c r="G31" s="159">
        <v>0</v>
      </c>
      <c r="H31" s="159">
        <v>0</v>
      </c>
      <c r="I31" s="159">
        <v>0</v>
      </c>
      <c r="J31" s="159">
        <v>0</v>
      </c>
    </row>
    <row r="32" spans="1:10" x14ac:dyDescent="0.25">
      <c r="A32" s="156" t="s">
        <v>215</v>
      </c>
      <c r="B32" s="157"/>
      <c r="C32" s="159">
        <v>0</v>
      </c>
      <c r="D32" s="159">
        <v>0</v>
      </c>
      <c r="E32" s="159">
        <v>0</v>
      </c>
      <c r="F32" s="159">
        <v>0</v>
      </c>
      <c r="G32" s="159">
        <v>0</v>
      </c>
      <c r="H32" s="159">
        <v>0</v>
      </c>
      <c r="I32" s="159">
        <v>0</v>
      </c>
      <c r="J32" s="159">
        <v>0</v>
      </c>
    </row>
    <row r="33" spans="1:10" x14ac:dyDescent="0.25">
      <c r="A33" s="161" t="s">
        <v>221</v>
      </c>
      <c r="B33" s="162"/>
      <c r="C33" s="164">
        <f t="shared" ref="C33:J33" si="13">SUM(C31:C32)</f>
        <v>0</v>
      </c>
      <c r="D33" s="164">
        <f t="shared" si="13"/>
        <v>0</v>
      </c>
      <c r="E33" s="164">
        <f t="shared" si="13"/>
        <v>0</v>
      </c>
      <c r="F33" s="164">
        <f t="shared" si="13"/>
        <v>0</v>
      </c>
      <c r="G33" s="164">
        <f t="shared" si="13"/>
        <v>0</v>
      </c>
      <c r="H33" s="164">
        <f t="shared" si="13"/>
        <v>0</v>
      </c>
      <c r="I33" s="164">
        <f t="shared" si="13"/>
        <v>0</v>
      </c>
      <c r="J33" s="164">
        <f t="shared" si="13"/>
        <v>0</v>
      </c>
    </row>
    <row r="34" spans="1:10" x14ac:dyDescent="0.25">
      <c r="A34" s="156"/>
      <c r="B34" s="160"/>
      <c r="C34" s="158"/>
      <c r="D34" s="158"/>
      <c r="E34" s="158"/>
      <c r="F34" s="158"/>
      <c r="G34" s="158"/>
      <c r="H34" s="158"/>
      <c r="I34" s="158"/>
      <c r="J34" s="158"/>
    </row>
    <row r="35" spans="1:10" x14ac:dyDescent="0.25">
      <c r="A35" s="156" t="s">
        <v>218</v>
      </c>
      <c r="B35" s="157"/>
      <c r="C35" s="158">
        <f t="shared" ref="C35:J36" si="14">C27-C31</f>
        <v>0</v>
      </c>
      <c r="D35" s="158">
        <f t="shared" si="14"/>
        <v>0</v>
      </c>
      <c r="E35" s="158">
        <f t="shared" si="14"/>
        <v>0</v>
      </c>
      <c r="F35" s="158">
        <f t="shared" si="14"/>
        <v>0</v>
      </c>
      <c r="G35" s="158">
        <f t="shared" si="14"/>
        <v>0</v>
      </c>
      <c r="H35" s="158">
        <f t="shared" si="14"/>
        <v>0</v>
      </c>
      <c r="I35" s="158">
        <f t="shared" si="14"/>
        <v>0</v>
      </c>
      <c r="J35" s="158">
        <f t="shared" si="14"/>
        <v>0</v>
      </c>
    </row>
    <row r="36" spans="1:10" x14ac:dyDescent="0.25">
      <c r="A36" s="156" t="s">
        <v>219</v>
      </c>
      <c r="B36" s="157"/>
      <c r="C36" s="158">
        <f t="shared" si="14"/>
        <v>0</v>
      </c>
      <c r="D36" s="158">
        <f t="shared" si="14"/>
        <v>0</v>
      </c>
      <c r="E36" s="158">
        <f t="shared" si="14"/>
        <v>0</v>
      </c>
      <c r="F36" s="158">
        <f t="shared" si="14"/>
        <v>0</v>
      </c>
      <c r="G36" s="158">
        <f t="shared" si="14"/>
        <v>0</v>
      </c>
      <c r="H36" s="158">
        <f t="shared" si="14"/>
        <v>0</v>
      </c>
      <c r="I36" s="158">
        <f t="shared" si="14"/>
        <v>0</v>
      </c>
      <c r="J36" s="158">
        <f t="shared" si="14"/>
        <v>0</v>
      </c>
    </row>
    <row r="37" spans="1:10" ht="15.75" thickBot="1" x14ac:dyDescent="0.3">
      <c r="A37" s="165" t="s">
        <v>222</v>
      </c>
      <c r="B37" s="166"/>
      <c r="C37" s="167">
        <f t="shared" ref="C37:J37" si="15">SUM(C35:C36)</f>
        <v>0</v>
      </c>
      <c r="D37" s="167">
        <f t="shared" si="15"/>
        <v>0</v>
      </c>
      <c r="E37" s="167">
        <f t="shared" si="15"/>
        <v>0</v>
      </c>
      <c r="F37" s="167">
        <f t="shared" si="15"/>
        <v>0</v>
      </c>
      <c r="G37" s="167">
        <f t="shared" si="15"/>
        <v>0</v>
      </c>
      <c r="H37" s="167">
        <f t="shared" si="15"/>
        <v>0</v>
      </c>
      <c r="I37" s="167">
        <f t="shared" si="15"/>
        <v>0</v>
      </c>
      <c r="J37" s="167">
        <f t="shared" si="15"/>
        <v>0</v>
      </c>
    </row>
    <row r="38" spans="1:10" ht="15.75" thickTop="1" x14ac:dyDescent="0.25">
      <c r="C38" s="142"/>
      <c r="D38" s="142"/>
      <c r="E38" s="142"/>
      <c r="F38" s="142"/>
      <c r="G38" s="142"/>
      <c r="H38" s="142"/>
      <c r="I38" s="142"/>
      <c r="J38" s="142"/>
    </row>
    <row r="39" spans="1:10" x14ac:dyDescent="0.25">
      <c r="A39" s="151" t="s">
        <v>198</v>
      </c>
      <c r="B39" s="7"/>
      <c r="C39" s="152" t="e">
        <f>C33-Resultados_Mes!K90</f>
        <v>#DIV/0!</v>
      </c>
      <c r="D39" s="152" t="e">
        <f>D33-Resultados_Mes!L90</f>
        <v>#DIV/0!</v>
      </c>
      <c r="E39" s="152">
        <f>E33-Resultados_Mes!M90</f>
        <v>0</v>
      </c>
      <c r="F39" s="152">
        <f>F33-Resultados_Mes!N90</f>
        <v>0</v>
      </c>
      <c r="G39" s="152">
        <f>G33-Resultados_Mes!O90</f>
        <v>0</v>
      </c>
      <c r="H39" s="152">
        <f>H33-Resultados_Mes!P90</f>
        <v>0</v>
      </c>
      <c r="I39" s="152">
        <f>I33-Resultados_Mes!Q90</f>
        <v>0</v>
      </c>
      <c r="J39" s="152">
        <f>J33-Resultados_Mes!R90</f>
        <v>0</v>
      </c>
    </row>
    <row r="40" spans="1:10" ht="15.75" thickBot="1" x14ac:dyDescent="0.3">
      <c r="A40" s="149" t="s">
        <v>199</v>
      </c>
      <c r="B40" s="8"/>
      <c r="C40" s="150"/>
      <c r="D40" s="150"/>
      <c r="E40" s="150"/>
      <c r="F40" s="150"/>
      <c r="G40" s="150"/>
      <c r="H40" s="150"/>
      <c r="I40" s="150"/>
      <c r="J40" s="150"/>
    </row>
    <row r="41" spans="1:10" ht="15.75" thickTop="1" x14ac:dyDescent="0.25"/>
    <row r="42" spans="1:10" x14ac:dyDescent="0.25">
      <c r="A42" t="s">
        <v>223</v>
      </c>
      <c r="C42" s="168" t="e">
        <f>C33-Resultados_Mes!K90</f>
        <v>#DIV/0!</v>
      </c>
      <c r="D42" s="168" t="e">
        <f>D33-Resultados_Mes!L90</f>
        <v>#DIV/0!</v>
      </c>
      <c r="E42" s="168">
        <f>E33-Resultados_Mes!M90</f>
        <v>0</v>
      </c>
      <c r="F42" s="168">
        <f>F33-Resultados_Mes!N90</f>
        <v>0</v>
      </c>
      <c r="G42" s="168">
        <f>G33-Resultados_Mes!O90</f>
        <v>0</v>
      </c>
      <c r="H42" s="168">
        <f>H33-Resultados_Mes!P90</f>
        <v>0</v>
      </c>
      <c r="I42" s="168">
        <f>I33-Resultados_Mes!Q90</f>
        <v>0</v>
      </c>
      <c r="J42" s="168">
        <f>J33-Resultados_Mes!R90</f>
        <v>0</v>
      </c>
    </row>
  </sheetData>
  <phoneticPr fontId="29" type="noConversion"/>
  <conditionalFormatting sqref="C12:C13 C16:C22 C25:C40">
    <cfRule type="cellIs" dxfId="10" priority="8" operator="lessThan">
      <formula>0</formula>
    </cfRule>
  </conditionalFormatting>
  <conditionalFormatting sqref="D12:D13 D16:D22 D25:D40">
    <cfRule type="cellIs" dxfId="9" priority="7" operator="lessThan">
      <formula>0</formula>
    </cfRule>
  </conditionalFormatting>
  <conditionalFormatting sqref="E12:E13 E16:E22 E25:E40">
    <cfRule type="cellIs" dxfId="8" priority="6" operator="lessThan">
      <formula>0</formula>
    </cfRule>
  </conditionalFormatting>
  <conditionalFormatting sqref="F12:F13 F16:F22 F25:F40">
    <cfRule type="cellIs" dxfId="7" priority="5" operator="lessThan">
      <formula>0</formula>
    </cfRule>
  </conditionalFormatting>
  <conditionalFormatting sqref="G12:G13 G16:G22 G25:G40">
    <cfRule type="cellIs" dxfId="6" priority="4" operator="lessThan">
      <formula>0</formula>
    </cfRule>
  </conditionalFormatting>
  <conditionalFormatting sqref="H12:H13 H16:H22 H25:H40">
    <cfRule type="cellIs" dxfId="5" priority="3" operator="lessThan">
      <formula>0</formula>
    </cfRule>
  </conditionalFormatting>
  <conditionalFormatting sqref="I12:I13 I16:I22 I25:I40">
    <cfRule type="cellIs" dxfId="4" priority="2" operator="lessThan">
      <formula>0</formula>
    </cfRule>
  </conditionalFormatting>
  <conditionalFormatting sqref="J12:J13 J16:J22 J25:J40">
    <cfRule type="cellIs" dxfId="3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Semana</vt:lpstr>
      <vt:lpstr>Hoja1</vt:lpstr>
      <vt:lpstr>Hoja2</vt:lpstr>
      <vt:lpstr>Caja_Diario</vt:lpstr>
      <vt:lpstr>Hoja3</vt:lpstr>
      <vt:lpstr>Sucursal</vt:lpstr>
      <vt:lpstr>Sucursal_Semanal</vt:lpstr>
      <vt:lpstr>Almacen</vt:lpstr>
      <vt:lpstr>Almacen_Semanal</vt:lpstr>
      <vt:lpstr>Produccion</vt:lpstr>
      <vt:lpstr>Produccion_Semanal</vt:lpstr>
      <vt:lpstr>Franquicias</vt:lpstr>
      <vt:lpstr>Franquicias_Semanal</vt:lpstr>
      <vt:lpstr>Matriz</vt:lpstr>
      <vt:lpstr>Resultados_Semana</vt:lpstr>
      <vt:lpstr>Resultados_Mes</vt:lpstr>
      <vt:lpstr>Financiero</vt:lpstr>
      <vt:lpstr>Caja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2022-03-23T22:55:23Z</cp:lastPrinted>
  <dcterms:created xsi:type="dcterms:W3CDTF">2021-12-27T22:09:31Z</dcterms:created>
  <dcterms:modified xsi:type="dcterms:W3CDTF">2023-05-04T20:09:49Z</dcterms:modified>
</cp:coreProperties>
</file>